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\Evaluate\Develop\Evaluate\Evaluate\template\"/>
    </mc:Choice>
  </mc:AlternateContent>
  <bookViews>
    <workbookView xWindow="0" yWindow="0" windowWidth="14370" windowHeight="5040" firstSheet="1" activeTab="2"/>
  </bookViews>
  <sheets>
    <sheet name="ตัวอย่างการกรอก" sheetId="3" state="hidden" r:id="rId1"/>
    <sheet name="1" sheetId="18" r:id="rId2"/>
    <sheet name="2.1" sheetId="11" r:id="rId3"/>
    <sheet name="2.2 (ปฏิบัติการ)" sheetId="19" r:id="rId4"/>
    <sheet name="3" sheetId="36" r:id="rId5"/>
    <sheet name="4" sheetId="21" r:id="rId6"/>
    <sheet name="ระดับความสำเร็จ" sheetId="34" r:id="rId7"/>
    <sheet name="คำนิยามกลุ่มงาน4กลุ่ม" sheetId="39" r:id="rId8"/>
    <sheet name="ตัวคูณระดับความสำเร็จ" sheetId="38" state="hidden" r:id="rId9"/>
  </sheets>
  <definedNames>
    <definedName name="_xlnm.Print_Area" localSheetId="2">'2.1'!$A$1:$H$66</definedName>
    <definedName name="_xlnm.Print_Area" localSheetId="3">'2.2 (ปฏิบัติการ)'!$A$1:$AM$78</definedName>
    <definedName name="_xlnm.Print_Area" localSheetId="0">ตัวอย่างการกรอก!$A$2:$H$29</definedName>
    <definedName name="_xlnm.Print_Titles" localSheetId="3">'2.2 (ปฏิบัติการ)'!$1:$3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1" l="1"/>
  <c r="F14" i="11" s="1"/>
  <c r="E13" i="11"/>
  <c r="F13" i="11" s="1"/>
  <c r="E11" i="11"/>
  <c r="F11" i="11" s="1"/>
  <c r="E10" i="11"/>
  <c r="F10" i="11" s="1"/>
  <c r="E8" i="11"/>
  <c r="F8" i="11" s="1"/>
  <c r="E7" i="11"/>
  <c r="F7" i="11" s="1"/>
  <c r="E5" i="11"/>
  <c r="F5" i="11" s="1"/>
  <c r="E4" i="11" l="1"/>
  <c r="C3" i="11" l="1"/>
  <c r="C12" i="11" l="1"/>
  <c r="C9" i="11"/>
  <c r="C6" i="11"/>
  <c r="C15" i="11" s="1"/>
  <c r="F12" i="11" l="1"/>
  <c r="E12" i="11"/>
  <c r="E9" i="11"/>
  <c r="E6" i="11" l="1"/>
  <c r="E3" i="11"/>
  <c r="F6" i="11"/>
  <c r="F9" i="11"/>
  <c r="F4" i="11"/>
  <c r="F3" i="11" s="1"/>
  <c r="E5" i="3"/>
  <c r="F5" i="3" s="1"/>
  <c r="E15" i="11" l="1"/>
  <c r="F15" i="11"/>
  <c r="C14" i="3"/>
  <c r="E19" i="3" l="1"/>
  <c r="F19" i="3" s="1"/>
  <c r="C9" i="3"/>
  <c r="C4" i="3"/>
  <c r="E18" i="3"/>
  <c r="F18" i="3" s="1"/>
  <c r="E17" i="3"/>
  <c r="F17" i="3" s="1"/>
  <c r="E16" i="3"/>
  <c r="F16" i="3" s="1"/>
  <c r="E15" i="3"/>
  <c r="F15" i="3" s="1"/>
  <c r="E13" i="3"/>
  <c r="F13" i="3" s="1"/>
  <c r="E12" i="3"/>
  <c r="F12" i="3" s="1"/>
  <c r="E11" i="3"/>
  <c r="F11" i="3" s="1"/>
  <c r="E10" i="3"/>
  <c r="F10" i="3" s="1"/>
  <c r="E8" i="3"/>
  <c r="F8" i="3" s="1"/>
  <c r="E7" i="3"/>
  <c r="F7" i="3" s="1"/>
  <c r="E6" i="3"/>
  <c r="F6" i="3" s="1"/>
  <c r="D30" i="3" l="1"/>
  <c r="F20" i="3"/>
</calcChain>
</file>

<file path=xl/sharedStrings.xml><?xml version="1.0" encoding="utf-8"?>
<sst xmlns="http://schemas.openxmlformats.org/spreadsheetml/2006/main" count="450" uniqueCount="307">
  <si>
    <t>มี Drop down list ให้เลือก</t>
  </si>
  <si>
    <t>2.1  รายงานผลการปฏิบัติงาน  (พนักงานกรอก  ผู้บังคับบัญชาประเมิน)</t>
  </si>
  <si>
    <t>หัวข้อ</t>
  </si>
  <si>
    <t>กิจกรรม  (Activities)</t>
  </si>
  <si>
    <t>% FTE
(A)</t>
  </si>
  <si>
    <t>ระดับความสำเร็จ*
(Level of Success)
1 - 4       (B)</t>
  </si>
  <si>
    <t>คะแนน
A x B
(C)</t>
  </si>
  <si>
    <t xml:space="preserve">ผลรวม
คะแนน %
(C) / 4 </t>
  </si>
  <si>
    <t>ความคิดเห็นเพิ่มเติม/ข้อเสนอแนะ
ปัญหาอุปสรรค
(Comment)</t>
  </si>
  <si>
    <t>รหัสกลยุทธ์ 
ใส่เฉพาะข้อ 2-3</t>
  </si>
  <si>
    <t>การทำงานตามกระบวนการปัจจุบัน (Routine)</t>
  </si>
  <si>
    <t>การประชาสัมพันธ์ทุนวิจัยจากแหล่งทุนต่าง ๆ ให้กับบุคลากรในหน่วยงาน</t>
  </si>
  <si>
    <t>การจัดทำรายงานกระแสเงินสดของหน่วยงาน</t>
  </si>
  <si>
    <t>ประสานงานเรื่องระบบสารสนเทศด้านทรัพยากรบุคคล (human resource information system) หรือ HRIS กับบุคลากรที่เกี่ยวข้องในภาระงานนั้น ๆ</t>
  </si>
  <si>
    <t>การจัดโครงการ 6+1 Flagship Track 2</t>
  </si>
  <si>
    <t>การปรับปรุงกระบวนการใหม่ (Improvement)</t>
  </si>
  <si>
    <t>ทบทวนขั้นตอนการปฏิบัติงาน และมีการลดขั้นการปฏิบัติงาน เรื่องการสรรหาและคัดเลือกนักศึกษาจากเดิม</t>
  </si>
  <si>
    <t>การเพิ่มช่องทางออนไลน์สำหรับการเเจ้งรายชื่อบุคลากรจ้างใหม่เพื่อตรวจสุขภาพ</t>
  </si>
  <si>
    <t xml:space="preserve">งานที่ปรับปรุงกระบวนการทำงานตามที่ระบุไว้ใน Business Continuity Management : BCM </t>
  </si>
  <si>
    <t>การจัดทำภาพ Infographic เรื่องการเบิกจ่ายเงิน</t>
  </si>
  <si>
    <t>การทำงานพัฒนาที่ตอบสนองนโยบาย/กลยุทธ์มหาวิทยาลัย  รวมทั้งการทำงานในลักษณะ Cross functional Team (Ant Team)</t>
  </si>
  <si>
    <t>โครงการที่เกี่ยวข้องกับ KMUTT 4LIFE เช่น Micro Credential</t>
  </si>
  <si>
    <t>โครงการ E-Document</t>
  </si>
  <si>
    <t>โครงการปรับปรุงระบบบริหารจัดการมหาวิทยาลัยให้มีคุณภาพและประสิทธิภาพ (JMAC)</t>
  </si>
  <si>
    <t>การจัดทำพื้นที่ Learning Space ให้กับมหาวิทยาลัย</t>
  </si>
  <si>
    <t>การพัฒนาตนเอง (Self-Development) (ระบุรายละเอียดในส่วนที่ 3)</t>
  </si>
  <si>
    <t>รวม</t>
  </si>
  <si>
    <t>คะแนน  (คะแนนเต็ม 100 คะแนน)**</t>
  </si>
  <si>
    <r>
      <t>หมายเหตุ</t>
    </r>
    <r>
      <rPr>
        <sz val="14"/>
        <rFont val="TH Sarabun New"/>
        <family val="2"/>
      </rPr>
      <t xml:space="preserve">     *</t>
    </r>
  </si>
  <si>
    <t xml:space="preserve">[4 = ประสิทธิภาพดีเยี่ยม  ควรเป็นแบบอย่าง]  [3.5 = ประสิทธิภาพดีมาก]  [3 = ประสิทธิภาพดี]  [2.5 = ประสิทธิภาพพอใช้  ต้องปรับปรุง]  [2 = ต้องการปรับปรุงพัฒนา] </t>
  </si>
  <si>
    <t>[1.5 = ต้องการปรับปรุงพัฒนาอย่างมาก]  [1 = ต้องการปรับปรุงพัฒนาอย่างเร่งด่วน]</t>
  </si>
  <si>
    <t>**</t>
  </si>
  <si>
    <t>คะแนนในส่วนนี้คิดเป็นคะแนนเต็ม 70 คะแนน  ของผลงานในภาพรวมทั้งหมด</t>
  </si>
  <si>
    <t>ความเห็นร่วมกันระหว่างหัวหน้าและพนักงาน</t>
  </si>
  <si>
    <t>ลายเซ็นพนักงาน                                             (………………………………………………………………………………………..)</t>
  </si>
  <si>
    <t>……./…………/……………...</t>
  </si>
  <si>
    <t>ลายเซ็นผู้บังคับบัญชาชั้นต้น                                (………………………………………………………………………………………..)</t>
  </si>
  <si>
    <t>ลายเซ็นผู้บังคับบัญชาเหนือขึ้นไป                          (………………………………………………………………………………………..)</t>
  </si>
  <si>
    <t>รวม FTE</t>
  </si>
  <si>
    <t>มหาวิทยาลัยเทคโนโลยีพระจอมเกล้าธนบุรี</t>
  </si>
  <si>
    <t>1. งานปฏิบัติการ (Routine Operation)</t>
  </si>
  <si>
    <t>2. งานบริหาร (Management)</t>
  </si>
  <si>
    <t>3. งานที่ทำแบบข้ามสายงาน (Cross Functional Team)</t>
  </si>
  <si>
    <t>4. งานที่พัฒนาตนเอง (Self Development)</t>
  </si>
  <si>
    <t>จำนวนรวมทั้งหมดค่าน้ำหนักผลงาน (100)</t>
  </si>
  <si>
    <t>แบบประเมินผลการปฏิบัติงาน สำหรับพนักงานกลุ่มวิชาชีพ (พนักงานระดับปฏิบัติการ)</t>
  </si>
  <si>
    <t>ส่วนที่ 1   ข้อมูลทั่วไปเกี่ยวกับพนักงาน</t>
  </si>
  <si>
    <t>1.</t>
  </si>
  <si>
    <t>ชื่อ - สกุล</t>
  </si>
  <si>
    <t>...................................</t>
  </si>
  <si>
    <t>ตำแหน่ง</t>
  </si>
  <si>
    <t>เลขที่ ...................................</t>
  </si>
  <si>
    <t>สังกัด</t>
  </si>
  <si>
    <t>2.</t>
  </si>
  <si>
    <t>....</t>
  </si>
  <si>
    <t>เดือน</t>
  </si>
  <si>
    <t>....................</t>
  </si>
  <si>
    <t>พ.ศ.</t>
  </si>
  <si>
    <t>........</t>
  </si>
  <si>
    <t>รวมเวลาปฏิบัติงาน</t>
  </si>
  <si>
    <t>.......</t>
  </si>
  <si>
    <t>ปี</t>
  </si>
  <si>
    <t>3.</t>
  </si>
  <si>
    <t xml:space="preserve">ในรอบปีงบประมาณที่ผ่านมา        </t>
  </si>
  <si>
    <t>ไม่ได้ลาศึกษาต่อ</t>
  </si>
  <si>
    <t xml:space="preserve">ลาศึกษาต่อ  </t>
  </si>
  <si>
    <t>ตั้งแต่วันที่</t>
  </si>
  <si>
    <t>ถึงวันที่</t>
  </si>
  <si>
    <t>และกลับเข้าปฏิบัติงานวันที่</t>
  </si>
  <si>
    <t>4.</t>
  </si>
  <si>
    <t>เวลาปฏิบัติงานในรอบปีงบประมาณที่ผ่านมา</t>
  </si>
  <si>
    <t>(1 ก.พ.</t>
  </si>
  <si>
    <t>- 31 ก.ค.</t>
  </si>
  <si>
    <t>)</t>
  </si>
  <si>
    <t>หรือ</t>
  </si>
  <si>
    <t>(1 ส.ค.</t>
  </si>
  <si>
    <t>61</t>
  </si>
  <si>
    <t>- 31 ม.ค.</t>
  </si>
  <si>
    <t>โดยมีวันหยุดงาน</t>
  </si>
  <si>
    <t>ดังนี้</t>
  </si>
  <si>
    <t>ลาป่วย</t>
  </si>
  <si>
    <t>วัน</t>
  </si>
  <si>
    <t>ลาป่วยมีใบรับรองแพทย์</t>
  </si>
  <si>
    <t>ลากิจ</t>
  </si>
  <si>
    <t>มาสาย</t>
  </si>
  <si>
    <t>ลาพักผ่อน</t>
  </si>
  <si>
    <t>ลาคลอดบุตร</t>
  </si>
  <si>
    <t>ลาอุปสมบท</t>
  </si>
  <si>
    <t>ขาดราชการ</t>
  </si>
  <si>
    <t>5.</t>
  </si>
  <si>
    <t>การเลื่อนขั้นเงินเดือน</t>
  </si>
  <si>
    <t>ปีงบประมาณ</t>
  </si>
  <si>
    <t>% การเลื่อนขั้น</t>
  </si>
  <si>
    <t>6.</t>
  </si>
  <si>
    <t xml:space="preserve">เคยถูกลงโทษทางวินัย  </t>
  </si>
  <si>
    <t>เมื่อ</t>
  </si>
  <si>
    <t>ระดับโทษที่ได้รับ</t>
  </si>
  <si>
    <t>ระยะเวลาการประเมิน</t>
  </si>
  <si>
    <t>ถึง</t>
  </si>
  <si>
    <t>คำอธิบายเพิ่มเติม</t>
  </si>
  <si>
    <t>การประเมินผลการปฏิบัติงาน  ควรจะมีการหารือระหว่างผู้บังคับบัญชาและผู้ใต้บังคับบัญชาอย่างน้อยเดือนละ 1 ครั้ง</t>
  </si>
  <si>
    <t xml:space="preserve">1. </t>
  </si>
  <si>
    <t>แบบประเมินผลการปฏิบัติงาน  แบ่งออกเป็น  4  ส่วน  คือ</t>
  </si>
  <si>
    <t>ส่วนที่  1</t>
  </si>
  <si>
    <t>-</t>
  </si>
  <si>
    <t>ข้อมูลทั่วไปเกี่ยวกับพนักงาน</t>
  </si>
  <si>
    <t>ส่วนที่  2</t>
  </si>
  <si>
    <t>การประเมินผลงาน</t>
  </si>
  <si>
    <t>ส่วนที่  3</t>
  </si>
  <si>
    <t>การฝึกอบรมเพื่อพัฒนาสมรรถนะให้พร้อมต่อการทำงาน</t>
  </si>
  <si>
    <t>ส่วนที่  4</t>
  </si>
  <si>
    <t>สรุปผลการประเมิน</t>
  </si>
  <si>
    <t>และจากพนักงานผู้ถูกประเมินผลงาน  หากไม่สามารถสรุปค่าคะแนนได้  จะต้องนำผลการพิจารณาคะแนนเสนอต่อคณะกรรมการพิจารณาตัดสินการประเมิน</t>
  </si>
  <si>
    <t>หัวหน้าควรติดตามและหาวิธีให้ความช่วยเหลือพนักงานที่มีปัญหา  อุปสรรคในการทำงาน  และมีผลการประเมินต่ำกว่าเกณฑ์มาตรฐาน</t>
  </si>
  <si>
    <t>การประเมินผลงานนี้  เปิดโอกาสให้พนักงานประเมินผลงานหรือให้ความเห็นชี้แจงผลการปฏิบัติงานของตนเอง</t>
  </si>
  <si>
    <t>หากเป็นไปได้ และเหมาะสม  หัวหน้าควรสอบถามความเห็นของลูกค้า  ผู้ใต้บังคับบัญชา  หรือผู้ที่ทำงานใกล้ชิดกับพนักงาน  เกี่ยวกับการปฏิบัติงานของพนักงาน  เพื่อใช้เป็นข้อมูลประกอบการประเมิน</t>
  </si>
  <si>
    <t>ค่าน้ำหนักผลงาน
(A)</t>
  </si>
  <si>
    <t>ระดับความสำเร็จ*
(Level of Success)
1 - 4
(B)</t>
  </si>
  <si>
    <t xml:space="preserve">[3.6-4.0 = ประสิทธิภาพดีเยี่ยม  ควรเป็นแบบอย่าง]  [3.1-3.5 = ประสิทธิภาพดีมาก]  [2.6-3.0 = ประสิทธิภาพดี]  [2.1-2.5 = ประสิทธิภาพพอใช้  ต้องปรับปรุง]  [1.6-2.0 = ต้องการปรับปรุงพัฒนา] </t>
  </si>
  <si>
    <t>[1.1-1.5 = ต้องการปรับปรุงพัฒนาอย่างมาก]  [0-1.0 = ต้องการปรับปรุงพัฒนาอย่างเร่งด่วน]</t>
  </si>
  <si>
    <t>2.2  แบบประเมินคุณลักษณะการปฏิบัติงานและคุณสมบัติเฉพาะตัว  สำหรับพนักงานกลุ่มวิชาชีพระดับปฏิบัติการ  (สำหรับผู้บังคับบัญชาประเมิน)</t>
  </si>
  <si>
    <t>องค์ประกอบและรายละเอียดประกอบการพิจารณา</t>
  </si>
  <si>
    <t>ระดับคะแนน</t>
  </si>
  <si>
    <t>คะแนนที่ได้</t>
  </si>
  <si>
    <t>ความสามารถ / ทักษะดีเด่น  และที่ปรับปรุงได้อีก</t>
  </si>
  <si>
    <t>หมวดที่ 1  คุณลักษณะในการปฏิบัติงาน</t>
  </si>
  <si>
    <t>และเป็นระบบเพื่อเพิ่มผลิตภาพของหน่วยงานและการริเริ่มทำงานที่ตนรับผิดชอบด้วยตนเอง</t>
  </si>
  <si>
    <t>สามารถพัฒนาการทำงานได้ดีมากและเป็นผู้ริเริ่ม  หรือมีส่วนริเริ่มสูงในการปฏิบัติงานทั้งที่เป็นงานเดิมและงาน</t>
  </si>
  <si>
    <t>8 - 10</t>
  </si>
  <si>
    <t>งานใหม่ทำให้เกิดผลในการเพิ่มผลิตภาพของสำนักงานได้เป็นอย่างดีมาก</t>
  </si>
  <si>
    <t>สามารถพัฒนาการทำงานได้และมีส่วนริเริ่มและสนับสนุน  การปฏิบัติงานเดิมและแนวใหม่ทำให้เกิดผลดีและ</t>
  </si>
  <si>
    <t>6 - 7</t>
  </si>
  <si>
    <t>เพิ่มผลิตภาพของสำนักงานได้อย่างดี</t>
  </si>
  <si>
    <t>สามารถพัฒนาการทำงานได้บ้างในเรื่อง  ยอมรับการปฏิบัติงานในแนวใหม่ได้บ้าง  มีส่วนริเริ่มไม่มากนัก  และ</t>
  </si>
  <si>
    <t>4 - 5</t>
  </si>
  <si>
    <t>ไม่ค่อยสามารถคิดหรือปฏิบัติงานในแนวใหม่ได้</t>
  </si>
  <si>
    <t>ไม่มีความคิดริเริ่ม   ไม่สามารถพัฒนางานได้  ไม่อาจดำเนินงานในแนวใหม่ได้  ไม่สามารถร่วมคิด  หรือ</t>
  </si>
  <si>
    <t>0 -3</t>
  </si>
  <si>
    <t>ดำเนินงานในแนวใหม่ๆ ได้</t>
  </si>
  <si>
    <t>รอบคอบและมีการวางแนวความคิดอย่างมีระบบ  แต่ทันการ</t>
  </si>
  <si>
    <t>เข้าใจปัญหาได้ลึกซึ้งดีมาก  สามารถตัดสินใจเด็ดขาด  และมีการวางแนวความคิดอย่างมีระบบทันการ  และ</t>
  </si>
  <si>
    <t>มีวิจารณญาณที่ดี</t>
  </si>
  <si>
    <t>เข้าใจปัญหาดี  ตัดสินใจได้ดีโดยส่วนใหญ่  แต่ยังขาดความรอบคอบในการตัดสินใจและการวางแนวความคิด</t>
  </si>
  <si>
    <t>อย่างมีระบบ</t>
  </si>
  <si>
    <t>ไม่เข้าใจปัญหาดีนัก  ตัดสินใจค่อนข้างช้า  และการวางแนวความคิดยังไม่ค่อยมีระบบดีนัก</t>
  </si>
  <si>
    <t>จับประเด็นปัญหาไม่ได้  ไม่อาจไว้ใจให้ตัดสินใจ  และไม่มีการวางแผนความคิดอย่างมีระบบ  เพิกเฉยไม่</t>
  </si>
  <si>
    <t>0 - 3</t>
  </si>
  <si>
    <t>ตัดสินใจหรือประเมินข้อเท็จจริงผิด</t>
  </si>
  <si>
    <t>หมวดที่ 2  คุณสมบัติเฉพาะตัว</t>
  </si>
  <si>
    <t>รู้  เข้าใจ  และสามารถเข้าถึงงานในทุกด้านที่รับผิดชอบได้โดยสมบูรณ์  และสามารถดัดแปลงเครื่องมือ  หรือวิธี</t>
  </si>
  <si>
    <t>12 - 15</t>
  </si>
  <si>
    <t>การทำงานให้เข้ากับภาระงานใหม่ได้</t>
  </si>
  <si>
    <t>มีความรู้  ความสามารถและมีความเข้าใจในงานโดยส่วนใหญ่มีความชำนาญในงานของตน</t>
  </si>
  <si>
    <t>8 - 11</t>
  </si>
  <si>
    <t>ไม่มีความรู้ความเข้าใจพอสำหรับงานในความรับผิดชอบบางด้านขาดความชำนาญในงานของตน</t>
  </si>
  <si>
    <t>4 - 7</t>
  </si>
  <si>
    <t>ต้องพึ่งผู้อื่นเสมอและไม่สามารถใช้อุปกรณ์ได้อย่างถูกต้อง</t>
  </si>
  <si>
    <t>กำหนดวัตถุประสงค์</t>
  </si>
  <si>
    <t>มีความกระตือรือล้นในการทำงานที่รับผิดชอบ  และในงานที่ท้าทายความสามารถ  มีระเบียบ  วินัย อย่างพอดี</t>
  </si>
  <si>
    <t>ปกติทำตามข้อแนะนำได้ดีและบางครั้งสามารถริเริ่มได้  มีระเบียบวินัยในการทำงาน</t>
  </si>
  <si>
    <t>ต้องคอยดูแลใกล้ชิด  กำหนดวัตถประสงค์มิค่อยได้  บางครั้งขาดระเบียบวินัย</t>
  </si>
  <si>
    <t>ไม่ชอบให้กำกับแต่ต้องเฝ้าคุมและแนะนำอย่างใกล้ชิดเป็นประจำ  ไม่มีระเบียบวินัย</t>
  </si>
  <si>
    <t>หลัก  การอุทิศตนให้กับงานโดยไม่ย่อท้อ  ความอุตสาหะวิริยะในการทำงาน</t>
  </si>
  <si>
    <t>มาปฏิบัติงานดีมาก  และทำงานอย่างสม่ำเสมอโดยนึกถึงภาระงานเป็นหลัก  มีความอุตสาหะวิริยะและอุทิศตน</t>
  </si>
  <si>
    <t>ให้กับงานอย่างดีมาก</t>
  </si>
  <si>
    <t>ปฏิบัติงานอย่างสม่ำเสมอจนเสร็จสิ้นภาระงาน  ขาดงานหรือมาสายน้อยมาก  อุทิศตนให้กับงาน  โดยมีความ</t>
  </si>
  <si>
    <t>ขยันหมั่นเพียร</t>
  </si>
  <si>
    <t>มีปัญหาบ้างในเรื่องการมาทำงาน  ความตรงต่อเวลา  และการใช้เวลาอย่างเหมาะสม  อุทิศตนและขยันหมั่น</t>
  </si>
  <si>
    <t>เพียรน้อยกว่าที่ควร</t>
  </si>
  <si>
    <t>มีปัญหามากในเรื่องการมาทำงาน  และความตรงต่อเวลาหรือใช้เวลาอย่างไม่ถูกต้อง  ไม่อุทิศตนให้กับงาน</t>
  </si>
  <si>
    <t>ไม่มีความขยันหมั่นเพียร</t>
  </si>
  <si>
    <t>งานใหม่ๆ</t>
  </si>
  <si>
    <t>มีศักยภาพสูงในการพัฒนาของตนและงานของตนให้ดีขึ้นเรื่อยๆ  ปรับตัวให้เข้ากับงานใหม่ๆ ได้ดีมาก</t>
  </si>
  <si>
    <t>พัฒนาตนและงานของตนอย่างสม่ำเสมอ  ปรับตัวให้เข้ากับงานใหม่ๆ ได้ดี</t>
  </si>
  <si>
    <t>ไม่ค่อยมีศักยภาพในการพัฒนาตนเองและงาน  ไม่ค่อยสามารถปรับตัวให้เข้ากับงานใหม่ๆ ได้</t>
  </si>
  <si>
    <t>ไม่สามารถพัฒนาตนและงานของตนได้  ไม่สามารถทำงานใหม่ๆ ได้</t>
  </si>
  <si>
    <t>ก้าวหน้า</t>
  </si>
  <si>
    <t>มีความซื่อสัตย์ต่อองค์กร  เป็นที่เชื่อถือและไว้ใจได้  มีทัศนคติที่ดีต่อองค์กร  เสียสละเพื่อช่วยเสริมให้หน่วยงาน</t>
  </si>
  <si>
    <t>เจริญก้าวหน้า  และมีจิตสำนึกว่างานขององค์กรเป็นเสมือนงานของตนเอง</t>
  </si>
  <si>
    <t>มีความซื่อสัตย์ต่อองค์กร  มีทัศนคติที่ดีต่อองค์กร  ทำให้บังเกิดผลดี</t>
  </si>
  <si>
    <t>มีความซื่อสัตย์ต่อองค์กรบ้าง  และมีทัศนคติที่ดีต่อองค์กรพอสมควร  อาจจะต้องแนะนำถึงวิธีที่ควรปฏิบัติให้</t>
  </si>
  <si>
    <t>บ้างเป็นบางครั้ง</t>
  </si>
  <si>
    <t>ต้องคอยชี้แนะให้เห็นถึงความสำคัญของความซื่อสัตย์  และการสร้างทัศนคติที่ดีต่อองค์กรอยู่เสมอ</t>
  </si>
  <si>
    <t>เสมอต้นเสมอปลาย</t>
  </si>
  <si>
    <t>ประพฤติตนเหมาะสมอยู่ในศีลธรรมอันดี  มีความซื่อตรงต่อตนเองและผู้อื่นอย่างสม่ำเสมอเป็นแบบอย่างที่ดี</t>
  </si>
  <si>
    <t>ประพฤติตนเหมาะสม  อยู่ในศีลธรรมอันดีพอสมควร</t>
  </si>
  <si>
    <t>ไม่ประพฤติปฏิบัติตนอยู่ในศีลธรรมบ้างในบางครั้ง  วุฒิภาวะทางอารมณ์ยังไม่มั่นคง</t>
  </si>
  <si>
    <t>ไม่ได้ปฏิบัติตนอยู่ในศีลธรรมเท่าที่ควร  ต้องคอยตักเตือนอยู่เสมอ</t>
  </si>
  <si>
    <t>สรุปผลการประเมินในส่วนที่ 2.2</t>
  </si>
  <si>
    <t>หัวหน้าประเมิน / ความเห็นหัวหน้า</t>
  </si>
  <si>
    <t>รวมคะแนน</t>
  </si>
  <si>
    <t>คะแนน</t>
  </si>
  <si>
    <t>คิดเป็น</t>
  </si>
  <si>
    <t>คะแนน  (คะแนนเต็ม 100 คะแนน)</t>
  </si>
  <si>
    <t>ลายเซ็นพนักงาน</t>
  </si>
  <si>
    <t xml:space="preserve"> /</t>
  </si>
  <si>
    <t>ผลการประเมินส่วนที่ 2.2</t>
  </si>
  <si>
    <t>ลายเซ็นหัวหน้า</t>
  </si>
  <si>
    <t>ลายเซ็นผู้บังคับบัญชา</t>
  </si>
  <si>
    <t>ผ่าน</t>
  </si>
  <si>
    <t>ไม่ผ่าน</t>
  </si>
  <si>
    <t>*เกณฑ์การประเมิน</t>
  </si>
  <si>
    <t>การประเมินในส่วน 2.2 นี้มีคะแนนเต็ม 95 คะแนน   ผู้ที่ผ่านต้องได้คะแนนรวมไม่น้อยกว่า 60%  หรือ 57 คะแนน</t>
  </si>
  <si>
    <t>คะแนนในส่วน 2.2 นี้คิดเป็น 30% ของคะแนนประเมินทั้งหมด</t>
  </si>
  <si>
    <t>(1)</t>
  </si>
  <si>
    <t>(2)</t>
  </si>
  <si>
    <t>(3)</t>
  </si>
  <si>
    <t>(4)</t>
  </si>
  <si>
    <t>(5)</t>
  </si>
  <si>
    <t>ส่วนที่ 3  การฝึกอบรมเพื่อพัฒนาสมรรถนะให้พร้อมต่อการทำงาน (พนักงานกรอก)</t>
  </si>
  <si>
    <t xml:space="preserve">ท่านสนใจการฝึกอบรม  หรือต้องการเรียนรู้เรื่องใดบ้างที่จะช่วยให้มีความสามารถปฏิบัติงานที่ได้รับมอบหมายในปัจจุบันได้ดียิ่งขึ้น </t>
  </si>
  <si>
    <t>(เรียงลำดับความสำคัญ 1-5)</t>
  </si>
  <si>
    <t>สมรรถนะที่ต้องการพัฒนา  ….................................. วิธีการพัฒนา …....................................</t>
  </si>
  <si>
    <t>ส่วนที่ 4  สรุปผลการประเมิน</t>
  </si>
  <si>
    <t>รวมคะแนนการประเมิน</t>
  </si>
  <si>
    <t>พนักงานรับทราบ</t>
  </si>
  <si>
    <t>ส่วนที่ 2.1</t>
  </si>
  <si>
    <t>ประเมินผลงาน</t>
  </si>
  <si>
    <t>คะแนน     คิดเป็น</t>
  </si>
  <si>
    <t xml:space="preserve">คะแนน </t>
  </si>
  <si>
    <t>(70%)</t>
  </si>
  <si>
    <t>ส่วนที่ 2.2</t>
  </si>
  <si>
    <t>ประเมินคุณลักษณะในการปฏิบัติงาน</t>
  </si>
  <si>
    <t>(30%)</t>
  </si>
  <si>
    <t>และคุณสมบัติเฉพาะตัว</t>
  </si>
  <si>
    <t>(100%)</t>
  </si>
  <si>
    <t>คะแนนการประเมินผลการปฏิบัติงานเป็นเพียงคะแนนส่วนบุคคลที่ใช้ประกอบการประเมินผลการปฏิบัติงานในเบื้องต้น</t>
  </si>
  <si>
    <t>ทั้งนี้  ผลการประเมินและระดับผลงานขึ้นอยู่กับผลงานในภาพรวมประกอบกับดุลยพินิจของผู้บังคับบัญชา</t>
  </si>
  <si>
    <t>เกณฑ์ผ่านรวมส่วนที่ 2.1 และ 2.2 พนักงานระดับปฏิบัติงาน  ไม่ต่ำกว่าร้อยละ 60</t>
  </si>
  <si>
    <t>ลงชื่อ</t>
  </si>
  <si>
    <t>สรุป</t>
  </si>
  <si>
    <t>ผ่านการประเมิน</t>
  </si>
  <si>
    <t>ไม่ผ่านการประเมิน</t>
  </si>
  <si>
    <t>(</t>
  </si>
  <si>
    <t>...............................................</t>
  </si>
  <si>
    <t>ผลงานระดับ</t>
  </si>
  <si>
    <t>เห็นสมควรให้ขึ้นเงินเดือน</t>
  </si>
  <si>
    <t>%</t>
  </si>
  <si>
    <t>ไม่สมควรให้ขึ้นเงินเดือน</t>
  </si>
  <si>
    <t>วันที่</t>
  </si>
  <si>
    <t>ความเห็นผู้ประเมิน  (ผู้บังคับบัญชา)</t>
  </si>
  <si>
    <t>ความคิดเห็นเพิ่มเติมสำหรับผู้บังคับบัญชา
ระดับเหนือขึ้นไปจากผู้ประเมิน</t>
  </si>
  <si>
    <t>ความคิดเห็นเพิ่มเติมสำหรับผู้บังคับบัญชาระดับสูงสุด</t>
  </si>
  <si>
    <t>เกณฑ์การประเมินวัดระดับความสำเร็จของผลงาน</t>
  </si>
  <si>
    <t>ระดับความสำเร็จ</t>
  </si>
  <si>
    <t>ผลงาน</t>
  </si>
  <si>
    <t>ประสิทธิภาพ / คุณภาพ</t>
  </si>
  <si>
    <t xml:space="preserve">ความหมาย </t>
  </si>
  <si>
    <t>3.6-4.0</t>
  </si>
  <si>
    <t>ผลงานสำเร็จสูงกว่าเป้าหมายไว้มาก (เสร็จก่อนกำหนดเวลา / ได้สูงกว่า KPI)</t>
  </si>
  <si>
    <t>ใช้ความสามารถและทักษะดีเยี่ยมเกินกว่ามาตรฐานงานมาก (งานดี ไม่ต้องแก้ไข ชี้แนะ สามารถพัฒนางาน กระบวนการทำงาน  เป็นต้น)</t>
  </si>
  <si>
    <t>ประสิทธิภาพดีเยี่ยมควรเป็นแบบอย่าง</t>
  </si>
  <si>
    <t>(90-100%)</t>
  </si>
  <si>
    <t>3.1-3.5</t>
  </si>
  <si>
    <t>ผลงานสำเร็จสูงกว่าเป้าหมาย (เสร็จก่อนกำหนดเวลา / ได้สูงกว่าKPI)</t>
  </si>
  <si>
    <t xml:space="preserve">ใช้ความสามารถและทักษะดีเกินกว่ามาตรฐานงาน  </t>
  </si>
  <si>
    <t>ประสิทธิภาพดีมาก</t>
  </si>
  <si>
    <t>(76-89%)</t>
  </si>
  <si>
    <t>2.6-3.0</t>
  </si>
  <si>
    <t>ผลงานสำเร็จตรงตามเป้าหมาย (กำหนดเวลา / เป็นไปตาม KPI )</t>
  </si>
  <si>
    <t>ใช้ความสามารถและทักษะมากกว่ามาตรฐานงานปกติ (งานดียังต้องมีการชี้แนะ)</t>
  </si>
  <si>
    <t xml:space="preserve">ประสิทธิภาพดี  </t>
  </si>
  <si>
    <t>(60-75%)</t>
  </si>
  <si>
    <t>2.1-2.5</t>
  </si>
  <si>
    <t>ผลงานสำเร็จไม่เป็นไปตามเป้าหมายที่กำหนด  สามารถชี้แจงเหตุผลได้</t>
  </si>
  <si>
    <t>ใช้ความสามารถและทักษะตามมาตรฐานงาน (สามารถเห็นถึงอุปสรรคของงาน วิธีการแก้ไข)</t>
  </si>
  <si>
    <t>ประสิทธิภาพพอใช้ ต้องปรับปรุง</t>
  </si>
  <si>
    <t>(44-59%)</t>
  </si>
  <si>
    <t>1.6-2.0</t>
  </si>
  <si>
    <t>ผลงานไม่สำเร็จตามเป้าหมายที่กำหนด  ไม่สามารถชี้แจงเหตุผลได้</t>
  </si>
  <si>
    <t xml:space="preserve">พยายามใช้ความสามารถและทักษะในการแก้ไขปัญหาที่เกิดขึ้นยังต้องการการชี้แนะ/ช่วยเหลือ </t>
  </si>
  <si>
    <t>ต้องการการปรับปรุงพัฒนา</t>
  </si>
  <si>
    <t>(30-43%)</t>
  </si>
  <si>
    <t>1.1-1.5</t>
  </si>
  <si>
    <t>ไม่สามารถแสดงปัญหาที่เกิดขึ้นได้และไม่พยายามแก้ไขปัญหาที่เกิดขึ้น</t>
  </si>
  <si>
    <t>ต้องการปรับปรุงพัฒนาอย่างมาก</t>
  </si>
  <si>
    <t>(19-29%)</t>
  </si>
  <si>
    <t>0-1.0</t>
  </si>
  <si>
    <t>ผลงานไม่สำเร็จตามเป้าหมายที่กำหนด  และส่งผลกระทบต่องานโดยรวม</t>
  </si>
  <si>
    <t>ต้องการปรับปรุงพัฒนาอย่างเร่งด่วน</t>
  </si>
  <si>
    <t>(0-18%)</t>
  </si>
  <si>
    <t>ประเภทกลุ่มงาน</t>
  </si>
  <si>
    <t>คำนิยาม</t>
  </si>
  <si>
    <t xml:space="preserve">กลุ่มที่ 1 การจัดการงานที่รับผิดชอบ (Routine Management) </t>
  </si>
  <si>
    <t>กระบวนการทำงานประจำตามภาระหน้าที่ความรับผิดชอบที่ได้รับมอบหมาย รวมถึงการพัฒนางานให้เกิดผลในเชิงปริมาณและคุณภาพตามวงจรการบริหารงานคุณภาพ (PDCA)  เช่น การลดความบกพร่อง (Defect) ของงาน การลดขั้นตอน การทำงานในปัจจุบันให้ได้ผลงานที่มีคุณภาพและประสิทธิภาพ</t>
  </si>
  <si>
    <t xml:space="preserve">กลุ่มที่ 2 การบริหารนโยบาย (Policy Management) </t>
  </si>
  <si>
    <t>การสร้างกระบวนการทำงานใหม่ตามหน้าที่ที่ตนเองรับผิดชอบ  โดยอาศัยความร่วมมือทั่วทั้งองค์กรที่ตอบสนองนโยบายหรือกลยุทธ์ระดับมหาวิทยาลัย/หน่วยงาน เช่น การคิดกระบวนการใหม่ การปรับเปลี่ยนวิธีการทำงานเพื่อเกิดการปรับปรุงแบบก้าวกระโดด เป็นการพัฒนาองค์กระระยะปานกลาง ยาว</t>
  </si>
  <si>
    <t xml:space="preserve">กลุ่มที่ 3 การจัดการแบบข้ามสายงาน (Cross Functional Management/Ant team) </t>
  </si>
  <si>
    <t>การทำงานร่วมกับผู้อื่นภายนอกหน่วยงานตนเองเพื่อให้เกิดการทำงานแบบองค์รวม (Holistic) หรือการทำงานตามกลุ่มงานที่ 2 ภายใต้การทำงานร่วมกับภายนอกหน่วยงานให้สามารถบรรลุจุดประสงค์พื้นฐานของธุรกิจในด้านคุณภาพ ต้นทุน ปริมาณ และเวลาส่งมอบ</t>
  </si>
  <si>
    <t>กลุ่มที่ 4 การพัฒนาตนเอง (Self Development)</t>
  </si>
  <si>
    <t xml:space="preserve">การพัฒนาตนเองเพื่อเพิ่มพูนสมรรถนะของตนเองโดยสอดคล้องกับเป้าหมายของมหาวิทยาลัย/หน่วยงาน เพื่อเพิ่มศักยภาพการปฏิบัติงานและนำไปสู่การเตรียมความพร้อมการตำแหน่งที่สูงขึ้นในอนาคต  การพัฒนาตนเองต้องแสดงให้เห็นผลสัมฤทธิ์ของงานที่เป็นผลจากการพัฒนาตนเอง </t>
  </si>
  <si>
    <r>
      <t>หมายเหตุ</t>
    </r>
    <r>
      <rPr>
        <b/>
        <sz val="14"/>
        <rFont val="TH SarabunPSK"/>
        <family val="2"/>
      </rPr>
      <t xml:space="preserve">     *</t>
    </r>
  </si>
  <si>
    <r>
      <t>1. การพัฒนาอย่างต่อเนื่องและความคิดริเริ่ม</t>
    </r>
    <r>
      <rPr>
        <b/>
        <sz val="14"/>
        <rFont val="TH SarabunPSK"/>
        <family val="2"/>
      </rPr>
      <t xml:space="preserve">  การนำเอาแนวความคิดหรือแนวปฏิบัติใหม่ๆ มาใช้อย่างรอบคอบ</t>
    </r>
  </si>
  <si>
    <r>
      <t>2. การแก้ปัญหา  และการตัดสินใจ</t>
    </r>
    <r>
      <rPr>
        <b/>
        <sz val="14"/>
        <rFont val="TH SarabunPSK"/>
        <family val="2"/>
      </rPr>
      <t xml:space="preserve">   การพยายามแก้ปัญหา  โดยมองทั้งในด้านกว้างและด้านลึก  มีการตัดสินใจ</t>
    </r>
  </si>
  <si>
    <r>
      <t xml:space="preserve">3. ความรู้ความสามารถ </t>
    </r>
    <r>
      <rPr>
        <b/>
        <sz val="14"/>
        <rFont val="TH SarabunPSK"/>
        <family val="2"/>
      </rPr>
      <t xml:space="preserve">  ความรู้  ความเข้าใจ  ความสามารถและความเชี่ยวชาญในงานที่รับผิดชอบ</t>
    </r>
  </si>
  <si>
    <r>
      <t>4. การปฏิบัติงานและทัศนคติต่องาน</t>
    </r>
    <r>
      <rPr>
        <b/>
        <sz val="14"/>
        <rFont val="TH SarabunPSK"/>
        <family val="2"/>
      </rPr>
      <t xml:space="preserve">    การปฏิบัติตามคำแนะนำด้วยความรับผิดชอบ  ทัศนคติต่องานและการ</t>
    </r>
  </si>
  <si>
    <r>
      <t>5. ความสม่ำเสมอในการทำงานและการอุทิศตน</t>
    </r>
    <r>
      <rPr>
        <b/>
        <sz val="14"/>
        <rFont val="TH SarabunPSK"/>
        <family val="2"/>
      </rPr>
      <t xml:space="preserve">   การมาทำงานอย่างสม่ำเสมอโดยคำนึงถึงภาระรับผิดชอบเป็น</t>
    </r>
  </si>
  <si>
    <r>
      <t>6. ศักยภาพในการพัฒนา</t>
    </r>
    <r>
      <rPr>
        <b/>
        <sz val="14"/>
        <rFont val="TH SarabunPSK"/>
        <family val="2"/>
      </rPr>
      <t xml:space="preserve">   ศักยภาพในการปรับปรุงตนเอง  ให้ทำงานดีขึ้นเรื่อยๆ  ความสามารถปรับตัวให้เข้ากับ</t>
    </r>
  </si>
  <si>
    <r>
      <t>7. ความซื่อสัตย์ต่อองค์กร และทัศนคติที่ดีต่อองค์กร</t>
    </r>
    <r>
      <rPr>
        <b/>
        <sz val="14"/>
        <rFont val="TH SarabunPSK"/>
        <family val="2"/>
      </rPr>
      <t xml:space="preserve">   ช่วยเสริมสร้างให้ตนและหน่วยงานมีชื่อเสียงและเจริญ</t>
    </r>
  </si>
  <si>
    <r>
      <t>8. การประพฤติตนอยู่ในศีลธรรมอันดี</t>
    </r>
    <r>
      <rPr>
        <b/>
        <sz val="14"/>
        <rFont val="TH SarabunPSK"/>
        <family val="2"/>
      </rPr>
      <t xml:space="preserve">  ประพฤติปฏิบัติตนอยู่ในกรอบของศีลธรรมและจรรยาบรรณวิชาชีพอย่าง</t>
    </r>
  </si>
  <si>
    <t>การประเมินผลการปฏิบัติงานครั้งที่</t>
  </si>
  <si>
    <t xml:space="preserve">ในการประเมินผล ทั้งหัวหน้าและพนักงานจะกรอกข้อมูลในแต่ละส่วน หัวหน้าจะเป็นผู้ประเมินค่าคะแนนในการปฏิบัติงานของพนักงาน โดยจะต้องได้รับความเห็นชอบจากผู้บังคับบัญชาที่สูงอีกขั้นหนึ่ง    </t>
  </si>
  <si>
    <t>เริ่มปฏิบัติงานเมื่อวันที่</t>
  </si>
  <si>
    <t>ผศ. ดร.สันติธรรม   พรหมอ่อน</t>
  </si>
  <si>
    <t>หัวหน้าภาควิชาวิศวกรรมคอมพิวเตอร์</t>
  </si>
  <si>
    <t>รศ. ดร.ทวิช   พูลเงิน</t>
  </si>
  <si>
    <t xml:space="preserve">        คณบดีคณะวิศวกรรมศาสตร์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</si>
</sst>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0.0"/>
  </numFmts>
  <fonts count="18" x14ac:knownFonts="1">
    <font>
      <sz val="14"/>
      <name val="Cordia New"/>
      <charset val="222"/>
    </font>
    <font>
      <b/>
      <sz val="16"/>
      <name val="TH Sarabun New"/>
      <family val="2"/>
    </font>
    <font>
      <sz val="16"/>
      <name val="TH Sarabun New"/>
      <family val="2"/>
    </font>
    <font>
      <u/>
      <sz val="14"/>
      <name val="TH Sarabun New"/>
      <family val="2"/>
    </font>
    <font>
      <sz val="14"/>
      <name val="TH Sarabun New"/>
      <family val="2"/>
    </font>
    <font>
      <sz val="14"/>
      <name val="Cordia New"/>
      <family val="2"/>
    </font>
    <font>
      <b/>
      <sz val="14"/>
      <name val="TH Sarabun New"/>
      <family val="2"/>
    </font>
    <font>
      <b/>
      <sz val="18"/>
      <color rgb="FFFF0000"/>
      <name val="TH Sarabun New"/>
      <family val="2"/>
    </font>
    <font>
      <b/>
      <sz val="14"/>
      <name val="TH SarabunPSK"/>
      <family val="2"/>
    </font>
    <font>
      <b/>
      <sz val="16"/>
      <name val="TH SarabunPSK"/>
      <family val="2"/>
    </font>
    <font>
      <b/>
      <u/>
      <sz val="14"/>
      <name val="TH SarabunPSK"/>
      <family val="2"/>
    </font>
    <font>
      <b/>
      <sz val="18"/>
      <name val="TH SarabunPSK"/>
      <family val="2"/>
    </font>
    <font>
      <b/>
      <sz val="15"/>
      <name val="TH SarabunPSK"/>
      <family val="2"/>
    </font>
    <font>
      <b/>
      <sz val="16"/>
      <name val="Cordia New"/>
      <family val="2"/>
    </font>
    <font>
      <b/>
      <sz val="16"/>
      <color rgb="FF000000"/>
      <name val="TH SarabunPSK"/>
      <family val="2"/>
      <charset val="222"/>
    </font>
    <font>
      <b/>
      <sz val="14"/>
      <name val="Cordia New"/>
      <family val="2"/>
    </font>
    <font>
      <b/>
      <sz val="16"/>
      <color rgb="FF0070C0"/>
      <name val="TH SarabunPSK"/>
      <family val="2"/>
    </font>
    <font>
      <b/>
      <sz val="12"/>
      <color rgb="FF0070C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tted">
        <color indexed="22"/>
      </bottom>
      <diagonal/>
    </border>
    <border>
      <left/>
      <right/>
      <top/>
      <bottom style="dotted">
        <color indexed="22"/>
      </bottom>
      <diagonal/>
    </border>
    <border>
      <left/>
      <right style="medium">
        <color indexed="64"/>
      </right>
      <top style="dotted">
        <color indexed="22"/>
      </top>
      <bottom style="dotted">
        <color indexed="22"/>
      </bottom>
      <diagonal/>
    </border>
    <border>
      <left/>
      <right/>
      <top style="dotted">
        <color indexed="22"/>
      </top>
      <bottom style="dotted">
        <color indexed="22"/>
      </bottom>
      <diagonal/>
    </border>
    <border>
      <left/>
      <right style="medium">
        <color indexed="64"/>
      </right>
      <top/>
      <bottom style="dotted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22"/>
      </top>
      <bottom style="dotted">
        <color indexed="22"/>
      </bottom>
      <diagonal/>
    </border>
    <border>
      <left style="thin">
        <color indexed="64"/>
      </left>
      <right/>
      <top style="dotted">
        <color indexed="22"/>
      </top>
      <bottom style="dotted">
        <color indexed="22"/>
      </bottom>
      <diagonal/>
    </border>
    <border>
      <left/>
      <right/>
      <top style="dotted">
        <color indexed="2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7">
    <xf numFmtId="0" fontId="0" fillId="0" borderId="0" xfId="0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vertical="top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 wrapText="1"/>
    </xf>
    <xf numFmtId="0" fontId="6" fillId="2" borderId="9" xfId="0" applyFont="1" applyFill="1" applyBorder="1"/>
    <xf numFmtId="0" fontId="6" fillId="2" borderId="11" xfId="0" applyFont="1" applyFill="1" applyBorder="1"/>
    <xf numFmtId="0" fontId="6" fillId="2" borderId="6" xfId="0" applyFont="1" applyFill="1" applyBorder="1"/>
    <xf numFmtId="0" fontId="4" fillId="0" borderId="2" xfId="0" applyFont="1" applyBorder="1"/>
    <xf numFmtId="0" fontId="4" fillId="0" borderId="7" xfId="0" applyFont="1" applyBorder="1"/>
    <xf numFmtId="49" fontId="4" fillId="0" borderId="7" xfId="0" applyNumberFormat="1" applyFont="1" applyBorder="1" applyAlignment="1">
      <alignment vertical="center"/>
    </xf>
    <xf numFmtId="0" fontId="4" fillId="0" borderId="5" xfId="0" applyFont="1" applyBorder="1"/>
    <xf numFmtId="0" fontId="4" fillId="0" borderId="8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6" xfId="0" applyFont="1" applyBorder="1"/>
    <xf numFmtId="49" fontId="3" fillId="0" borderId="4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/>
    <xf numFmtId="0" fontId="6" fillId="0" borderId="9" xfId="0" applyFont="1" applyBorder="1"/>
    <xf numFmtId="0" fontId="6" fillId="0" borderId="0" xfId="0" applyFont="1"/>
    <xf numFmtId="49" fontId="6" fillId="0" borderId="9" xfId="0" applyNumberFormat="1" applyFont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 vertical="center"/>
    </xf>
    <xf numFmtId="0" fontId="6" fillId="2" borderId="10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12" xfId="0" applyFont="1" applyFill="1" applyBorder="1" applyAlignment="1">
      <alignment horizontal="center"/>
    </xf>
    <xf numFmtId="49" fontId="6" fillId="2" borderId="12" xfId="0" applyNumberFormat="1" applyFont="1" applyFill="1" applyBorder="1" applyAlignment="1">
      <alignment horizontal="center"/>
    </xf>
    <xf numFmtId="0" fontId="6" fillId="2" borderId="3" xfId="0" applyFont="1" applyFill="1" applyBorder="1"/>
    <xf numFmtId="0" fontId="4" fillId="0" borderId="9" xfId="0" applyFont="1" applyBorder="1"/>
    <xf numFmtId="49" fontId="4" fillId="0" borderId="0" xfId="0" applyNumberFormat="1" applyFont="1"/>
    <xf numFmtId="0" fontId="2" fillId="0" borderId="12" xfId="0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/>
    </xf>
    <xf numFmtId="0" fontId="6" fillId="0" borderId="10" xfId="0" applyFont="1" applyBorder="1"/>
    <xf numFmtId="0" fontId="7" fillId="0" borderId="0" xfId="0" applyFont="1"/>
    <xf numFmtId="49" fontId="8" fillId="0" borderId="18" xfId="0" applyNumberFormat="1" applyFont="1" applyBorder="1"/>
    <xf numFmtId="49" fontId="10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12" fillId="0" borderId="12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 wrapText="1"/>
    </xf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12" fillId="2" borderId="12" xfId="0" applyFont="1" applyFill="1" applyBorder="1" applyAlignment="1">
      <alignment horizontal="center"/>
    </xf>
    <xf numFmtId="0" fontId="12" fillId="2" borderId="11" xfId="0" applyFont="1" applyFill="1" applyBorder="1"/>
    <xf numFmtId="0" fontId="12" fillId="2" borderId="9" xfId="0" applyFont="1" applyFill="1" applyBorder="1"/>
    <xf numFmtId="0" fontId="12" fillId="2" borderId="10" xfId="0" applyFont="1" applyFill="1" applyBorder="1"/>
    <xf numFmtId="0" fontId="12" fillId="2" borderId="3" xfId="0" applyFont="1" applyFill="1" applyBorder="1"/>
    <xf numFmtId="0" fontId="12" fillId="2" borderId="13" xfId="0" applyFont="1" applyFill="1" applyBorder="1" applyAlignment="1">
      <alignment horizontal="center"/>
    </xf>
    <xf numFmtId="0" fontId="12" fillId="0" borderId="9" xfId="0" applyFont="1" applyBorder="1"/>
    <xf numFmtId="2" fontId="12" fillId="0" borderId="12" xfId="0" applyNumberFormat="1" applyFont="1" applyBorder="1" applyAlignment="1">
      <alignment horizontal="center"/>
    </xf>
    <xf numFmtId="0" fontId="12" fillId="0" borderId="10" xfId="0" applyFont="1" applyBorder="1"/>
    <xf numFmtId="0" fontId="12" fillId="0" borderId="12" xfId="0" applyFont="1" applyBorder="1" applyAlignment="1">
      <alignment horizontal="center"/>
    </xf>
    <xf numFmtId="0" fontId="12" fillId="0" borderId="12" xfId="0" applyFont="1" applyBorder="1"/>
    <xf numFmtId="2" fontId="12" fillId="2" borderId="12" xfId="0" applyNumberFormat="1" applyFont="1" applyFill="1" applyBorder="1" applyAlignment="1">
      <alignment horizontal="center"/>
    </xf>
    <xf numFmtId="0" fontId="9" fillId="0" borderId="12" xfId="1" applyFont="1" applyBorder="1" applyAlignment="1">
      <alignment horizontal="center" vertical="top" wrapText="1"/>
    </xf>
    <xf numFmtId="49" fontId="8" fillId="0" borderId="5" xfId="0" applyNumberFormat="1" applyFont="1" applyBorder="1" applyAlignment="1">
      <alignment vertical="center"/>
    </xf>
    <xf numFmtId="187" fontId="0" fillId="0" borderId="0" xfId="0" applyNumberFormat="1"/>
    <xf numFmtId="187" fontId="12" fillId="2" borderId="7" xfId="0" applyNumberFormat="1" applyFont="1" applyFill="1" applyBorder="1"/>
    <xf numFmtId="187" fontId="12" fillId="2" borderId="9" xfId="0" applyNumberFormat="1" applyFont="1" applyFill="1" applyBorder="1" applyAlignment="1">
      <alignment horizontal="center"/>
    </xf>
    <xf numFmtId="187" fontId="12" fillId="2" borderId="12" xfId="0" applyNumberFormat="1" applyFont="1" applyFill="1" applyBorder="1" applyAlignment="1">
      <alignment horizontal="center" vertical="center"/>
    </xf>
    <xf numFmtId="187" fontId="12" fillId="0" borderId="12" xfId="0" applyNumberFormat="1" applyFont="1" applyBorder="1"/>
    <xf numFmtId="0" fontId="8" fillId="0" borderId="0" xfId="0" applyFont="1" applyAlignment="1">
      <alignment vertical="top"/>
    </xf>
    <xf numFmtId="0" fontId="12" fillId="0" borderId="12" xfId="0" applyFont="1" applyBorder="1" applyAlignment="1">
      <alignment horizontal="center" vertical="center"/>
    </xf>
    <xf numFmtId="49" fontId="12" fillId="0" borderId="12" xfId="0" applyNumberFormat="1" applyFont="1" applyBorder="1" applyAlignment="1">
      <alignment vertical="center"/>
    </xf>
    <xf numFmtId="2" fontId="12" fillId="0" borderId="12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2" fontId="12" fillId="0" borderId="12" xfId="0" applyNumberFormat="1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vertical="center" wrapText="1"/>
    </xf>
    <xf numFmtId="0" fontId="8" fillId="0" borderId="2" xfId="0" applyFont="1" applyBorder="1"/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/>
    <xf numFmtId="49" fontId="8" fillId="0" borderId="17" xfId="0" applyNumberFormat="1" applyFont="1" applyBorder="1"/>
    <xf numFmtId="49" fontId="8" fillId="0" borderId="19" xfId="0" applyNumberFormat="1" applyFont="1" applyBorder="1"/>
    <xf numFmtId="49" fontId="9" fillId="0" borderId="0" xfId="0" applyNumberFormat="1" applyFont="1"/>
    <xf numFmtId="49" fontId="9" fillId="0" borderId="18" xfId="0" applyNumberFormat="1" applyFont="1" applyBorder="1"/>
    <xf numFmtId="49" fontId="9" fillId="0" borderId="17" xfId="0" applyNumberFormat="1" applyFont="1" applyBorder="1"/>
    <xf numFmtId="49" fontId="9" fillId="0" borderId="18" xfId="0" applyNumberFormat="1" applyFont="1" applyBorder="1" applyAlignment="1">
      <alignment horizontal="center"/>
    </xf>
    <xf numFmtId="49" fontId="9" fillId="0" borderId="23" xfId="0" applyNumberFormat="1" applyFont="1" applyBorder="1"/>
    <xf numFmtId="49" fontId="9" fillId="0" borderId="0" xfId="0" applyNumberFormat="1" applyFont="1" applyAlignment="1">
      <alignment horizontal="left"/>
    </xf>
    <xf numFmtId="49" fontId="9" fillId="0" borderId="26" xfId="0" applyNumberFormat="1" applyFont="1" applyBorder="1"/>
    <xf numFmtId="49" fontId="9" fillId="0" borderId="23" xfId="0" applyNumberFormat="1" applyFont="1" applyBorder="1" applyAlignment="1">
      <alignment horizontal="right"/>
    </xf>
    <xf numFmtId="49" fontId="9" fillId="0" borderId="23" xfId="0" quotePrefix="1" applyNumberFormat="1" applyFont="1" applyBorder="1"/>
    <xf numFmtId="49" fontId="9" fillId="0" borderId="25" xfId="0" applyNumberFormat="1" applyFont="1" applyBorder="1"/>
    <xf numFmtId="49" fontId="9" fillId="0" borderId="24" xfId="0" applyNumberFormat="1" applyFont="1" applyBorder="1"/>
    <xf numFmtId="49" fontId="9" fillId="0" borderId="16" xfId="0" applyNumberFormat="1" applyFont="1" applyBorder="1"/>
    <xf numFmtId="49" fontId="9" fillId="0" borderId="15" xfId="0" applyNumberFormat="1" applyFont="1" applyBorder="1"/>
    <xf numFmtId="49" fontId="9" fillId="0" borderId="14" xfId="0" applyNumberFormat="1" applyFont="1" applyBorder="1"/>
    <xf numFmtId="49" fontId="9" fillId="0" borderId="21" xfId="0" applyNumberFormat="1" applyFont="1" applyBorder="1"/>
    <xf numFmtId="49" fontId="9" fillId="0" borderId="20" xfId="0" applyNumberFormat="1" applyFont="1" applyBorder="1"/>
    <xf numFmtId="49" fontId="9" fillId="0" borderId="19" xfId="0" applyNumberFormat="1" applyFont="1" applyBorder="1"/>
    <xf numFmtId="49" fontId="9" fillId="0" borderId="15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8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31" xfId="0" applyNumberFormat="1" applyFont="1" applyBorder="1" applyAlignment="1">
      <alignment vertical="center"/>
    </xf>
    <xf numFmtId="49" fontId="8" fillId="0" borderId="25" xfId="0" applyNumberFormat="1" applyFont="1" applyBorder="1" applyAlignment="1">
      <alignment vertical="center"/>
    </xf>
    <xf numFmtId="49" fontId="8" fillId="0" borderId="30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23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10" fillId="0" borderId="4" xfId="0" applyNumberFormat="1" applyFont="1" applyBorder="1" applyAlignment="1">
      <alignment vertic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49" fontId="8" fillId="0" borderId="20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8" fillId="0" borderId="32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left" vertical="center" indent="1"/>
    </xf>
    <xf numFmtId="49" fontId="8" fillId="0" borderId="23" xfId="0" applyNumberFormat="1" applyFont="1" applyBorder="1" applyAlignment="1">
      <alignment horizontal="left" vertical="center" indent="1"/>
    </xf>
    <xf numFmtId="49" fontId="8" fillId="0" borderId="23" xfId="0" applyNumberFormat="1" applyFont="1" applyBorder="1"/>
    <xf numFmtId="0" fontId="13" fillId="0" borderId="0" xfId="1" applyFont="1" applyAlignment="1">
      <alignment vertical="top"/>
    </xf>
    <xf numFmtId="0" fontId="14" fillId="0" borderId="1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top" wrapText="1"/>
    </xf>
    <xf numFmtId="0" fontId="14" fillId="0" borderId="33" xfId="1" applyFont="1" applyBorder="1" applyAlignment="1">
      <alignment horizontal="center" vertical="top" wrapText="1"/>
    </xf>
    <xf numFmtId="0" fontId="13" fillId="0" borderId="34" xfId="1" applyFont="1" applyBorder="1" applyAlignment="1">
      <alignment vertical="top"/>
    </xf>
    <xf numFmtId="0" fontId="14" fillId="0" borderId="34" xfId="1" applyFont="1" applyBorder="1" applyAlignment="1">
      <alignment horizontal="center" vertical="top" wrapText="1"/>
    </xf>
    <xf numFmtId="0" fontId="13" fillId="0" borderId="0" xfId="1" applyFont="1" applyAlignment="1">
      <alignment horizontal="left" vertical="top"/>
    </xf>
    <xf numFmtId="0" fontId="15" fillId="0" borderId="0" xfId="1" applyFont="1" applyAlignment="1">
      <alignment vertical="top"/>
    </xf>
    <xf numFmtId="0" fontId="9" fillId="0" borderId="12" xfId="1" applyFont="1" applyBorder="1" applyAlignment="1">
      <alignment vertical="top" wrapText="1"/>
    </xf>
    <xf numFmtId="0" fontId="15" fillId="0" borderId="0" xfId="1" applyFont="1" applyAlignment="1">
      <alignment vertical="top" wrapText="1"/>
    </xf>
    <xf numFmtId="49" fontId="8" fillId="0" borderId="20" xfId="0" applyNumberFormat="1" applyFont="1" applyBorder="1"/>
    <xf numFmtId="49" fontId="10" fillId="0" borderId="21" xfId="0" applyNumberFormat="1" applyFont="1" applyBorder="1"/>
    <xf numFmtId="49" fontId="10" fillId="0" borderId="20" xfId="0" applyNumberFormat="1" applyFont="1" applyBorder="1"/>
    <xf numFmtId="49" fontId="10" fillId="0" borderId="20" xfId="0" applyNumberFormat="1" applyFont="1" applyBorder="1" applyAlignment="1">
      <alignment horizontal="left"/>
    </xf>
    <xf numFmtId="49" fontId="8" fillId="0" borderId="20" xfId="0" applyNumberFormat="1" applyFont="1" applyBorder="1" applyAlignment="1">
      <alignment horizontal="left"/>
    </xf>
    <xf numFmtId="49" fontId="8" fillId="0" borderId="20" xfId="0" applyNumberFormat="1" applyFont="1" applyBorder="1" applyAlignment="1">
      <alignment horizontal="center"/>
    </xf>
    <xf numFmtId="49" fontId="8" fillId="0" borderId="18" xfId="0" applyNumberFormat="1" applyFont="1" applyBorder="1" applyAlignment="1">
      <alignment horizontal="center"/>
    </xf>
    <xf numFmtId="49" fontId="8" fillId="0" borderId="0" xfId="0" applyNumberFormat="1" applyFont="1" applyBorder="1"/>
    <xf numFmtId="49" fontId="10" fillId="0" borderId="0" xfId="0" applyNumberFormat="1" applyFont="1" applyBorder="1"/>
    <xf numFmtId="49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center"/>
    </xf>
    <xf numFmtId="49" fontId="9" fillId="0" borderId="0" xfId="0" applyNumberFormat="1" applyFont="1" applyBorder="1"/>
    <xf numFmtId="49" fontId="16" fillId="0" borderId="20" xfId="0" applyNumberFormat="1" applyFont="1" applyBorder="1"/>
    <xf numFmtId="49" fontId="17" fillId="0" borderId="20" xfId="0" applyNumberFormat="1" applyFont="1" applyBorder="1"/>
    <xf numFmtId="49" fontId="9" fillId="0" borderId="0" xfId="0" applyNumberFormat="1" applyFont="1" applyFill="1"/>
    <xf numFmtId="49" fontId="9" fillId="0" borderId="23" xfId="0" applyNumberFormat="1" applyFont="1" applyFill="1" applyBorder="1" applyAlignment="1">
      <alignment horizontal="right"/>
    </xf>
    <xf numFmtId="49" fontId="9" fillId="0" borderId="0" xfId="0" applyNumberFormat="1" applyFont="1" applyFill="1" applyAlignment="1">
      <alignment horizontal="left"/>
    </xf>
    <xf numFmtId="49" fontId="11" fillId="0" borderId="22" xfId="0" applyNumberFormat="1" applyFont="1" applyFill="1" applyBorder="1"/>
    <xf numFmtId="49" fontId="11" fillId="0" borderId="20" xfId="0" applyNumberFormat="1" applyFont="1" applyFill="1" applyBorder="1"/>
    <xf numFmtId="49" fontId="9" fillId="0" borderId="0" xfId="0" applyNumberFormat="1" applyFont="1" applyAlignment="1">
      <alignment horizontal="center"/>
    </xf>
    <xf numFmtId="49" fontId="9" fillId="0" borderId="29" xfId="0" applyNumberFormat="1" applyFont="1" applyBorder="1" applyAlignment="1">
      <alignment horizontal="center"/>
    </xf>
    <xf numFmtId="49" fontId="9" fillId="0" borderId="28" xfId="0" applyNumberFormat="1" applyFont="1" applyBorder="1" applyAlignment="1">
      <alignment horizontal="center"/>
    </xf>
    <xf numFmtId="49" fontId="9" fillId="0" borderId="27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9" fontId="8" fillId="0" borderId="25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5" xfId="0" applyNumberFormat="1" applyFont="1" applyBorder="1" applyAlignment="1">
      <alignment horizontal="center"/>
    </xf>
    <xf numFmtId="0" fontId="14" fillId="0" borderId="12" xfId="1" applyFont="1" applyBorder="1" applyAlignment="1">
      <alignment horizontal="left" vertical="top" wrapText="1"/>
    </xf>
    <xf numFmtId="0" fontId="9" fillId="0" borderId="7" xfId="1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2D18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642938</xdr:colOff>
      <xdr:row>0</xdr:row>
      <xdr:rowOff>76727</xdr:rowOff>
    </xdr:from>
    <xdr:to>
      <xdr:col>4</xdr:col>
      <xdr:colOff>396875</xdr:colOff>
      <xdr:row>2</xdr:row>
      <xdr:rowOff>165372</xdr:rowOff>
    </xdr:to>
    <xdr:sp macro="" textlink="">
      <xdr:nvSpPr>
        <xdr:cNvPr id="3" name="ลูกศรโค้งขึ้น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10025063" y="76727"/>
          <a:ext cx="1325562" cy="731583"/>
        </a:xfrm>
        <a:prstGeom prst="bentUpArrow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1398587</xdr:colOff>
      <xdr:row>0</xdr:row>
      <xdr:rowOff>86251</xdr:rowOff>
    </xdr:from>
    <xdr:to>
      <xdr:col>7</xdr:col>
      <xdr:colOff>801687</xdr:colOff>
      <xdr:row>2</xdr:row>
      <xdr:rowOff>174896</xdr:rowOff>
    </xdr:to>
    <xdr:sp macro="" textlink="">
      <xdr:nvSpPr>
        <xdr:cNvPr id="4" name="ลูกศรโค้งขึ้น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 rot="10800000" flipH="1">
          <a:off x="13590587" y="86251"/>
          <a:ext cx="1355725" cy="731583"/>
        </a:xfrm>
        <a:prstGeom prst="bentUpArrow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8</xdr:row>
      <xdr:rowOff>66675</xdr:rowOff>
    </xdr:from>
    <xdr:to>
      <xdr:col>7</xdr:col>
      <xdr:colOff>133350</xdr:colOff>
      <xdr:row>8</xdr:row>
      <xdr:rowOff>171450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762125" y="2276475"/>
          <a:ext cx="104775" cy="1047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12</xdr:col>
      <xdr:colOff>9525</xdr:colOff>
      <xdr:row>8</xdr:row>
      <xdr:rowOff>57150</xdr:rowOff>
    </xdr:from>
    <xdr:to>
      <xdr:col>12</xdr:col>
      <xdr:colOff>114300</xdr:colOff>
      <xdr:row>8</xdr:row>
      <xdr:rowOff>161925</xdr:rowOff>
    </xdr:to>
    <xdr:sp macro="" textlink="">
      <xdr:nvSpPr>
        <xdr:cNvPr id="3" name="Oval 3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981325" y="2266950"/>
          <a:ext cx="104775" cy="1047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52</xdr:col>
      <xdr:colOff>35569</xdr:colOff>
      <xdr:row>21</xdr:row>
      <xdr:rowOff>56985</xdr:rowOff>
    </xdr:from>
    <xdr:to>
      <xdr:col>52</xdr:col>
      <xdr:colOff>64769</xdr:colOff>
      <xdr:row>21</xdr:row>
      <xdr:rowOff>220976</xdr:rowOff>
    </xdr:to>
    <xdr:sp macro="" textlink="">
      <xdr:nvSpPr>
        <xdr:cNvPr id="10246" name="Rectangle 6">
          <a:extLst>
            <a:ext uri="{FF2B5EF4-FFF2-40B4-BE49-F238E27FC236}">
              <a16:creationId xmlns="" xmlns:a16="http://schemas.microsoft.com/office/drawing/2014/main" id="{29C1CD64-48DE-CAA1-543F-64F219080B68}"/>
            </a:ext>
          </a:extLst>
        </xdr:cNvPr>
        <xdr:cNvSpPr>
          <a:spLocks noChangeArrowheads="1"/>
        </xdr:cNvSpPr>
      </xdr:nvSpPr>
      <xdr:spPr bwMode="auto">
        <a:xfrm>
          <a:off x="12319009" y="5009985"/>
          <a:ext cx="29200" cy="16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</a:p>
      </xdr:txBody>
    </xdr:sp>
    <xdr:clientData/>
  </xdr:twoCellAnchor>
  <xdr:twoCellAnchor editAs="oneCell">
    <xdr:from>
      <xdr:col>1</xdr:col>
      <xdr:colOff>119531</xdr:colOff>
      <xdr:row>0</xdr:row>
      <xdr:rowOff>0</xdr:rowOff>
    </xdr:from>
    <xdr:to>
      <xdr:col>4</xdr:col>
      <xdr:colOff>67236</xdr:colOff>
      <xdr:row>3</xdr:row>
      <xdr:rowOff>88845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857A8539-79FF-6B74-55B7-F91478765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060" y="0"/>
          <a:ext cx="687294" cy="6790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73</xdr:row>
      <xdr:rowOff>76200</xdr:rowOff>
    </xdr:from>
    <xdr:to>
      <xdr:col>27</xdr:col>
      <xdr:colOff>133350</xdr:colOff>
      <xdr:row>73</xdr:row>
      <xdr:rowOff>200025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686550" y="23002875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30</xdr:col>
      <xdr:colOff>0</xdr:colOff>
      <xdr:row>73</xdr:row>
      <xdr:rowOff>76200</xdr:rowOff>
    </xdr:from>
    <xdr:to>
      <xdr:col>30</xdr:col>
      <xdr:colOff>133350</xdr:colOff>
      <xdr:row>73</xdr:row>
      <xdr:rowOff>200025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7429500" y="23002875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10</xdr:row>
      <xdr:rowOff>38100</xdr:rowOff>
    </xdr:from>
    <xdr:to>
      <xdr:col>5</xdr:col>
      <xdr:colOff>219075</xdr:colOff>
      <xdr:row>10</xdr:row>
      <xdr:rowOff>200025</xdr:rowOff>
    </xdr:to>
    <xdr:sp macro="" textlink="">
      <xdr:nvSpPr>
        <xdr:cNvPr id="2" name="Oval 3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1295400" y="280035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10</xdr:row>
      <xdr:rowOff>38100</xdr:rowOff>
    </xdr:from>
    <xdr:to>
      <xdr:col>17</xdr:col>
      <xdr:colOff>219075</xdr:colOff>
      <xdr:row>10</xdr:row>
      <xdr:rowOff>200025</xdr:rowOff>
    </xdr:to>
    <xdr:sp macro="" textlink="">
      <xdr:nvSpPr>
        <xdr:cNvPr id="3" name="Oval 9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4267200" y="280035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12</xdr:row>
      <xdr:rowOff>38100</xdr:rowOff>
    </xdr:from>
    <xdr:to>
      <xdr:col>17</xdr:col>
      <xdr:colOff>219075</xdr:colOff>
      <xdr:row>12</xdr:row>
      <xdr:rowOff>200025</xdr:rowOff>
    </xdr:to>
    <xdr:sp macro="" textlink="">
      <xdr:nvSpPr>
        <xdr:cNvPr id="4" name="Oval 1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4267200" y="33528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12</xdr:row>
      <xdr:rowOff>38100</xdr:rowOff>
    </xdr:from>
    <xdr:to>
      <xdr:col>5</xdr:col>
      <xdr:colOff>219075</xdr:colOff>
      <xdr:row>12</xdr:row>
      <xdr:rowOff>200025</xdr:rowOff>
    </xdr:to>
    <xdr:sp macro="" textlink="">
      <xdr:nvSpPr>
        <xdr:cNvPr id="5" name="Oval 12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1295400" y="33528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11</xdr:row>
      <xdr:rowOff>38100</xdr:rowOff>
    </xdr:from>
    <xdr:to>
      <xdr:col>5</xdr:col>
      <xdr:colOff>219075</xdr:colOff>
      <xdr:row>11</xdr:row>
      <xdr:rowOff>200025</xdr:rowOff>
    </xdr:to>
    <xdr:sp macro="" textlink="">
      <xdr:nvSpPr>
        <xdr:cNvPr id="6" name="Oval 13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1295400" y="30765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3" zoomScale="70" zoomScaleNormal="70" zoomScaleSheetLayoutView="106" workbookViewId="0">
      <selection activeCell="D6" sqref="D6"/>
    </sheetView>
  </sheetViews>
  <sheetFormatPr defaultColWidth="9.140625" defaultRowHeight="21.75" x14ac:dyDescent="0.5"/>
  <cols>
    <col min="1" max="1" width="8.140625" style="7" customWidth="1"/>
    <col min="2" max="2" width="123.42578125" style="7" bestFit="1" customWidth="1"/>
    <col min="3" max="3" width="9.140625" style="7"/>
    <col min="4" max="4" width="23.5703125" style="7" customWidth="1"/>
    <col min="5" max="5" width="9.140625" style="7"/>
    <col min="6" max="6" width="9.42578125" style="7" bestFit="1" customWidth="1"/>
    <col min="7" max="7" width="29.140625" style="7" customWidth="1"/>
    <col min="8" max="8" width="18.42578125" style="7" customWidth="1"/>
    <col min="9" max="16384" width="9.140625" style="7"/>
  </cols>
  <sheetData>
    <row r="1" spans="1:13" ht="27" x14ac:dyDescent="0.6">
      <c r="E1" s="53"/>
      <c r="F1" s="53" t="s">
        <v>0</v>
      </c>
    </row>
    <row r="2" spans="1:13" ht="24" x14ac:dyDescent="0.55000000000000004">
      <c r="A2" s="6"/>
      <c r="B2" s="32" t="s">
        <v>1</v>
      </c>
    </row>
    <row r="3" spans="1:13" s="8" customFormat="1" ht="87" x14ac:dyDescent="0.5">
      <c r="A3" s="9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</row>
    <row r="4" spans="1:13" x14ac:dyDescent="0.5">
      <c r="A4" s="21" t="s">
        <v>10</v>
      </c>
      <c r="B4" s="41"/>
      <c r="C4" s="44">
        <f>C5+C6+C7+C8</f>
        <v>45</v>
      </c>
      <c r="D4" s="41"/>
      <c r="E4" s="41"/>
      <c r="F4" s="41"/>
      <c r="G4" s="42"/>
      <c r="H4" s="43"/>
    </row>
    <row r="5" spans="1:13" ht="24" x14ac:dyDescent="0.5">
      <c r="A5" s="16">
        <v>1</v>
      </c>
      <c r="B5" s="11" t="s">
        <v>11</v>
      </c>
      <c r="C5" s="16">
        <v>15</v>
      </c>
      <c r="D5" s="12">
        <v>4</v>
      </c>
      <c r="E5" s="49">
        <f>C5*D5</f>
        <v>60</v>
      </c>
      <c r="F5" s="49">
        <f>E5/4</f>
        <v>15</v>
      </c>
      <c r="G5" s="11"/>
      <c r="H5" s="12"/>
      <c r="I5" s="1"/>
      <c r="J5" s="1"/>
      <c r="K5" s="1"/>
      <c r="L5" s="1"/>
      <c r="M5" s="1"/>
    </row>
    <row r="6" spans="1:13" ht="24" customHeight="1" x14ac:dyDescent="0.5">
      <c r="A6" s="17">
        <v>2</v>
      </c>
      <c r="B6" s="13" t="s">
        <v>12</v>
      </c>
      <c r="C6" s="48">
        <v>10</v>
      </c>
      <c r="D6" s="12">
        <v>3.5</v>
      </c>
      <c r="E6" s="49">
        <f t="shared" ref="E6:E8" si="0">C6*D6</f>
        <v>35</v>
      </c>
      <c r="F6" s="49">
        <f t="shared" ref="F6:F8" si="1">E6/4</f>
        <v>8.75</v>
      </c>
      <c r="G6" s="15"/>
      <c r="H6" s="14"/>
      <c r="I6" s="5"/>
      <c r="J6" s="5"/>
      <c r="K6" s="5"/>
      <c r="L6" s="5"/>
      <c r="M6" s="5"/>
    </row>
    <row r="7" spans="1:13" ht="24" customHeight="1" x14ac:dyDescent="0.5">
      <c r="A7" s="16">
        <v>3</v>
      </c>
      <c r="B7" s="11" t="s">
        <v>13</v>
      </c>
      <c r="C7" s="48">
        <v>10</v>
      </c>
      <c r="D7" s="12">
        <v>4</v>
      </c>
      <c r="E7" s="49">
        <f t="shared" si="0"/>
        <v>40</v>
      </c>
      <c r="F7" s="49">
        <f t="shared" si="1"/>
        <v>10</v>
      </c>
      <c r="G7" s="15"/>
      <c r="H7" s="14"/>
      <c r="I7" s="5"/>
      <c r="J7" s="5"/>
      <c r="K7" s="5"/>
      <c r="L7" s="5"/>
      <c r="M7" s="5"/>
    </row>
    <row r="8" spans="1:13" ht="24" customHeight="1" x14ac:dyDescent="0.5">
      <c r="A8" s="17">
        <v>4</v>
      </c>
      <c r="B8" s="11" t="s">
        <v>14</v>
      </c>
      <c r="C8" s="48">
        <v>10</v>
      </c>
      <c r="D8" s="12">
        <v>3.5</v>
      </c>
      <c r="E8" s="49">
        <f t="shared" si="0"/>
        <v>35</v>
      </c>
      <c r="F8" s="49">
        <f t="shared" si="1"/>
        <v>8.75</v>
      </c>
      <c r="G8" s="15"/>
      <c r="H8" s="14"/>
      <c r="I8" s="5"/>
      <c r="J8" s="5"/>
      <c r="K8" s="5"/>
      <c r="L8" s="5"/>
      <c r="M8" s="5"/>
    </row>
    <row r="9" spans="1:13" x14ac:dyDescent="0.5">
      <c r="A9" s="20" t="s">
        <v>15</v>
      </c>
      <c r="B9" s="19"/>
      <c r="C9" s="44">
        <f>C10+C11+C12+C13</f>
        <v>20</v>
      </c>
      <c r="D9" s="38"/>
      <c r="E9" s="38"/>
      <c r="F9" s="38"/>
      <c r="G9" s="40"/>
      <c r="H9" s="43"/>
    </row>
    <row r="10" spans="1:13" ht="24" x14ac:dyDescent="0.5">
      <c r="A10" s="18">
        <v>1</v>
      </c>
      <c r="B10" s="11" t="s">
        <v>16</v>
      </c>
      <c r="C10" s="48">
        <v>5</v>
      </c>
      <c r="D10" s="12">
        <v>3.5</v>
      </c>
      <c r="E10" s="49">
        <f t="shared" ref="E10:E13" si="2">C10*D10</f>
        <v>17.5</v>
      </c>
      <c r="F10" s="49">
        <f t="shared" ref="F10:F13" si="3">E10/4</f>
        <v>4.375</v>
      </c>
      <c r="G10" s="15"/>
      <c r="H10" s="16">
        <v>41</v>
      </c>
      <c r="I10" s="5"/>
      <c r="J10" s="5"/>
      <c r="K10" s="5"/>
      <c r="L10" s="5"/>
      <c r="M10" s="5"/>
    </row>
    <row r="11" spans="1:13" ht="24" x14ac:dyDescent="0.5">
      <c r="A11" s="17">
        <v>2</v>
      </c>
      <c r="B11" s="11" t="s">
        <v>17</v>
      </c>
      <c r="C11" s="48">
        <v>5</v>
      </c>
      <c r="D11" s="12">
        <v>4</v>
      </c>
      <c r="E11" s="49">
        <f t="shared" si="2"/>
        <v>20</v>
      </c>
      <c r="F11" s="49">
        <f t="shared" si="3"/>
        <v>5</v>
      </c>
      <c r="G11" s="15"/>
      <c r="H11" s="16">
        <v>41</v>
      </c>
      <c r="I11" s="5"/>
      <c r="J11" s="5"/>
      <c r="K11" s="5"/>
      <c r="L11" s="5"/>
      <c r="M11" s="5"/>
    </row>
    <row r="12" spans="1:13" ht="24" x14ac:dyDescent="0.5">
      <c r="A12" s="17">
        <v>3</v>
      </c>
      <c r="B12" s="11" t="s">
        <v>18</v>
      </c>
      <c r="C12" s="48">
        <v>5</v>
      </c>
      <c r="D12" s="12">
        <v>3.5</v>
      </c>
      <c r="E12" s="49">
        <f t="shared" si="2"/>
        <v>17.5</v>
      </c>
      <c r="F12" s="49">
        <f t="shared" si="3"/>
        <v>4.375</v>
      </c>
      <c r="G12" s="15"/>
      <c r="H12" s="16">
        <v>41</v>
      </c>
      <c r="I12" s="5"/>
      <c r="J12" s="5"/>
      <c r="K12" s="5"/>
      <c r="L12" s="5"/>
      <c r="M12" s="5"/>
    </row>
    <row r="13" spans="1:13" ht="24" x14ac:dyDescent="0.5">
      <c r="A13" s="17">
        <v>4</v>
      </c>
      <c r="B13" s="11" t="s">
        <v>19</v>
      </c>
      <c r="C13" s="48">
        <v>5</v>
      </c>
      <c r="D13" s="12">
        <v>3</v>
      </c>
      <c r="E13" s="49">
        <f t="shared" si="2"/>
        <v>15</v>
      </c>
      <c r="F13" s="49">
        <f t="shared" si="3"/>
        <v>3.75</v>
      </c>
      <c r="G13" s="15"/>
      <c r="H13" s="16">
        <v>41</v>
      </c>
      <c r="I13" s="5"/>
      <c r="J13" s="5"/>
      <c r="K13" s="5"/>
      <c r="L13" s="5"/>
      <c r="M13" s="5"/>
    </row>
    <row r="14" spans="1:13" x14ac:dyDescent="0.5">
      <c r="A14" s="20" t="s">
        <v>20</v>
      </c>
      <c r="B14" s="19"/>
      <c r="C14" s="43">
        <f>C15+C16+C17+C18</f>
        <v>30</v>
      </c>
      <c r="D14" s="38"/>
      <c r="E14" s="38"/>
      <c r="F14" s="38"/>
      <c r="G14" s="40"/>
      <c r="H14" s="43"/>
    </row>
    <row r="15" spans="1:13" ht="24" x14ac:dyDescent="0.5">
      <c r="A15" s="16">
        <v>1</v>
      </c>
      <c r="B15" s="11" t="s">
        <v>21</v>
      </c>
      <c r="C15" s="16">
        <v>5</v>
      </c>
      <c r="D15" s="12">
        <v>3.5</v>
      </c>
      <c r="E15" s="49">
        <f t="shared" ref="E15:E19" si="4">C15*D15</f>
        <v>17.5</v>
      </c>
      <c r="F15" s="49">
        <f t="shared" ref="F15:F19" si="5">E15/4</f>
        <v>4.375</v>
      </c>
      <c r="G15" s="11"/>
      <c r="H15" s="16">
        <v>71</v>
      </c>
      <c r="I15" s="1"/>
      <c r="J15" s="1"/>
      <c r="K15" s="1"/>
      <c r="L15" s="1"/>
      <c r="M15" s="1"/>
    </row>
    <row r="16" spans="1:13" ht="24" x14ac:dyDescent="0.5">
      <c r="A16" s="17">
        <v>2</v>
      </c>
      <c r="B16" s="15" t="s">
        <v>22</v>
      </c>
      <c r="C16" s="48">
        <v>10</v>
      </c>
      <c r="D16" s="12">
        <v>4</v>
      </c>
      <c r="E16" s="49">
        <f t="shared" si="4"/>
        <v>40</v>
      </c>
      <c r="F16" s="49">
        <f t="shared" si="5"/>
        <v>10</v>
      </c>
      <c r="G16" s="15"/>
      <c r="H16" s="16">
        <v>44</v>
      </c>
      <c r="I16" s="5"/>
      <c r="J16" s="5"/>
      <c r="K16" s="5"/>
      <c r="L16" s="5"/>
      <c r="M16" s="5"/>
    </row>
    <row r="17" spans="1:13" ht="24" x14ac:dyDescent="0.5">
      <c r="A17" s="17">
        <v>3</v>
      </c>
      <c r="B17" s="15" t="s">
        <v>23</v>
      </c>
      <c r="C17" s="48">
        <v>5</v>
      </c>
      <c r="D17" s="12">
        <v>3.5</v>
      </c>
      <c r="E17" s="49">
        <f t="shared" si="4"/>
        <v>17.5</v>
      </c>
      <c r="F17" s="49">
        <f t="shared" si="5"/>
        <v>4.375</v>
      </c>
      <c r="G17" s="15"/>
      <c r="H17" s="16">
        <v>44</v>
      </c>
      <c r="I17" s="5"/>
      <c r="J17" s="5"/>
      <c r="K17" s="5"/>
      <c r="L17" s="5"/>
      <c r="M17" s="5"/>
    </row>
    <row r="18" spans="1:13" ht="24" x14ac:dyDescent="0.5">
      <c r="A18" s="17">
        <v>4</v>
      </c>
      <c r="B18" s="15" t="s">
        <v>24</v>
      </c>
      <c r="C18" s="48">
        <v>10</v>
      </c>
      <c r="D18" s="12">
        <v>3.5</v>
      </c>
      <c r="E18" s="49">
        <f t="shared" si="4"/>
        <v>35</v>
      </c>
      <c r="F18" s="49">
        <f t="shared" si="5"/>
        <v>8.75</v>
      </c>
      <c r="G18" s="15"/>
      <c r="H18" s="16">
        <v>13</v>
      </c>
      <c r="I18" s="5"/>
      <c r="J18" s="5"/>
      <c r="K18" s="5"/>
      <c r="L18" s="5"/>
      <c r="M18" s="5"/>
    </row>
    <row r="19" spans="1:13" ht="24" x14ac:dyDescent="0.5">
      <c r="A19" s="20" t="s">
        <v>25</v>
      </c>
      <c r="B19" s="19"/>
      <c r="C19" s="43">
        <v>5</v>
      </c>
      <c r="D19" s="39">
        <v>3</v>
      </c>
      <c r="E19" s="50">
        <f t="shared" si="4"/>
        <v>15</v>
      </c>
      <c r="F19" s="50">
        <f t="shared" si="5"/>
        <v>3.75</v>
      </c>
      <c r="G19" s="45"/>
      <c r="H19" s="51"/>
    </row>
    <row r="20" spans="1:13" s="36" customFormat="1" x14ac:dyDescent="0.5">
      <c r="A20" s="34"/>
      <c r="B20" s="33" t="s">
        <v>26</v>
      </c>
      <c r="C20" s="35"/>
      <c r="D20" s="35"/>
      <c r="E20" s="35"/>
      <c r="F20" s="37">
        <f>F5+F6+F7+F8+F10+F11+F12+F13+F15+F16+F17+F18+F19</f>
        <v>91.25</v>
      </c>
      <c r="G20" s="46" t="s">
        <v>27</v>
      </c>
      <c r="H20" s="52"/>
    </row>
    <row r="21" spans="1:13" x14ac:dyDescent="0.5">
      <c r="A21" s="27"/>
      <c r="B21" s="22"/>
      <c r="C21" s="22"/>
      <c r="D21" s="22"/>
      <c r="E21" s="22"/>
      <c r="F21" s="22"/>
      <c r="H21" s="25"/>
    </row>
    <row r="22" spans="1:13" x14ac:dyDescent="0.5">
      <c r="A22" s="30" t="s">
        <v>28</v>
      </c>
      <c r="B22" s="7" t="s">
        <v>29</v>
      </c>
      <c r="H22" s="25"/>
    </row>
    <row r="23" spans="1:13" x14ac:dyDescent="0.5">
      <c r="A23" s="28"/>
      <c r="B23" s="7" t="s">
        <v>30</v>
      </c>
      <c r="H23" s="25"/>
    </row>
    <row r="24" spans="1:13" x14ac:dyDescent="0.5">
      <c r="A24" s="31" t="s">
        <v>31</v>
      </c>
      <c r="B24" s="2" t="s">
        <v>32</v>
      </c>
      <c r="H24" s="25"/>
    </row>
    <row r="25" spans="1:13" x14ac:dyDescent="0.5">
      <c r="A25" s="29"/>
      <c r="B25" s="23"/>
      <c r="C25" s="23"/>
      <c r="D25" s="23"/>
      <c r="E25" s="23"/>
      <c r="F25" s="23"/>
      <c r="G25" s="23"/>
      <c r="H25" s="26"/>
    </row>
    <row r="26" spans="1:13" x14ac:dyDescent="0.5">
      <c r="A26" s="27"/>
      <c r="B26" s="4" t="s">
        <v>33</v>
      </c>
      <c r="C26" s="22"/>
      <c r="D26" s="22"/>
      <c r="E26" s="22"/>
      <c r="F26" s="22"/>
      <c r="H26" s="25"/>
    </row>
    <row r="27" spans="1:13" x14ac:dyDescent="0.5">
      <c r="A27" s="28"/>
      <c r="B27" s="3" t="s">
        <v>34</v>
      </c>
      <c r="D27" s="7" t="s">
        <v>35</v>
      </c>
      <c r="H27" s="25"/>
    </row>
    <row r="28" spans="1:13" x14ac:dyDescent="0.5">
      <c r="A28" s="28"/>
      <c r="B28" s="3" t="s">
        <v>36</v>
      </c>
      <c r="D28" s="7" t="s">
        <v>35</v>
      </c>
      <c r="H28" s="25"/>
    </row>
    <row r="29" spans="1:13" x14ac:dyDescent="0.5">
      <c r="A29" s="29"/>
      <c r="B29" s="24" t="s">
        <v>37</v>
      </c>
      <c r="C29" s="23"/>
      <c r="D29" s="23" t="s">
        <v>35</v>
      </c>
      <c r="E29" s="23"/>
      <c r="F29" s="23"/>
      <c r="G29" s="23"/>
      <c r="H29" s="26"/>
    </row>
    <row r="30" spans="1:13" x14ac:dyDescent="0.5">
      <c r="C30" s="7" t="s">
        <v>38</v>
      </c>
      <c r="D30" s="47">
        <f>C4+C9+C14+C19</f>
        <v>100</v>
      </c>
    </row>
  </sheetData>
  <dataConsolidate/>
  <dataValidations count="2">
    <dataValidation type="list" allowBlank="1" showInputMessage="1" showErrorMessage="1" sqref="H10:H13 H15:H18">
      <formula1>#REF!</formula1>
    </dataValidation>
    <dataValidation type="list" allowBlank="1" showInputMessage="1" showErrorMessage="1" sqref="D5:D8 D10:D13 D15:D19">
      <formula1>#REF!</formula1>
    </dataValidation>
  </dataValidations>
  <pageMargins left="0.7" right="0.7" top="0.75" bottom="0.75" header="0.3" footer="0.3"/>
  <pageSetup paperSize="9" scale="41" orientation="portrait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tabColor rgb="FF92D050"/>
  </sheetPr>
  <dimension ref="A1:AN31"/>
  <sheetViews>
    <sheetView zoomScale="85" zoomScaleNormal="85" zoomScaleSheetLayoutView="115" workbookViewId="0">
      <selection activeCell="AA25" sqref="AA25"/>
    </sheetView>
  </sheetViews>
  <sheetFormatPr defaultColWidth="3.85546875" defaultRowHeight="21" x14ac:dyDescent="0.35"/>
  <cols>
    <col min="1" max="5" width="3.85546875" style="99"/>
    <col min="6" max="6" width="4.7109375" style="99" customWidth="1"/>
    <col min="7" max="36" width="3.85546875" style="99"/>
    <col min="37" max="37" width="2.5703125" style="99" customWidth="1"/>
    <col min="38" max="38" width="3.85546875" style="99"/>
    <col min="39" max="39" width="4.85546875" style="99" customWidth="1"/>
    <col min="40" max="40" width="2.7109375" style="99" customWidth="1"/>
    <col min="41" max="16384" width="3.85546875" style="99"/>
  </cols>
  <sheetData>
    <row r="1" spans="1:40" ht="21" customHeight="1" x14ac:dyDescent="0.35">
      <c r="A1" s="181" t="s">
        <v>39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</row>
    <row r="2" spans="1:40" ht="20.45" customHeight="1" x14ac:dyDescent="0.35">
      <c r="A2" s="181" t="s">
        <v>45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</row>
    <row r="3" spans="1:40" ht="4.5" customHeight="1" x14ac:dyDescent="0.35">
      <c r="A3" s="181"/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</row>
    <row r="4" spans="1:40" ht="9" customHeight="1" thickBot="1" x14ac:dyDescent="0.4"/>
    <row r="5" spans="1:40" ht="21.75" thickBot="1" x14ac:dyDescent="0.4">
      <c r="A5" s="182" t="s">
        <v>46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4"/>
    </row>
    <row r="6" spans="1:40" ht="6" customHeight="1" x14ac:dyDescent="0.35">
      <c r="A6" s="100"/>
      <c r="AN6" s="101"/>
    </row>
    <row r="7" spans="1:40" x14ac:dyDescent="0.35">
      <c r="A7" s="102" t="s">
        <v>47</v>
      </c>
      <c r="B7" s="99" t="s">
        <v>48</v>
      </c>
      <c r="D7" s="103"/>
      <c r="E7" s="103" t="s">
        <v>49</v>
      </c>
      <c r="F7" s="103"/>
      <c r="G7" s="103"/>
      <c r="H7" s="103"/>
      <c r="I7" s="103"/>
      <c r="J7" s="103"/>
      <c r="K7" s="103"/>
      <c r="L7" s="103"/>
      <c r="M7" s="99" t="s">
        <v>50</v>
      </c>
      <c r="O7" s="103"/>
      <c r="P7" s="103" t="s">
        <v>49</v>
      </c>
      <c r="Q7" s="103"/>
      <c r="R7" s="103"/>
      <c r="S7" s="103"/>
      <c r="T7" s="103"/>
      <c r="U7" s="99" t="s">
        <v>51</v>
      </c>
      <c r="W7" s="103"/>
      <c r="X7" s="103"/>
      <c r="Y7" s="99" t="s">
        <v>52</v>
      </c>
      <c r="AA7" s="103" t="s">
        <v>49</v>
      </c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1"/>
    </row>
    <row r="8" spans="1:40" x14ac:dyDescent="0.35">
      <c r="A8" s="102" t="s">
        <v>53</v>
      </c>
      <c r="B8" s="99" t="s">
        <v>302</v>
      </c>
      <c r="G8" s="103" t="s">
        <v>54</v>
      </c>
      <c r="H8" s="181" t="s">
        <v>55</v>
      </c>
      <c r="I8" s="181"/>
      <c r="J8" s="103" t="s">
        <v>56</v>
      </c>
      <c r="K8" s="103"/>
      <c r="L8" s="103"/>
      <c r="M8" s="99" t="s">
        <v>57</v>
      </c>
      <c r="N8" s="103" t="s">
        <v>58</v>
      </c>
      <c r="O8" s="103"/>
      <c r="P8" s="99" t="s">
        <v>59</v>
      </c>
      <c r="T8" s="103" t="s">
        <v>60</v>
      </c>
      <c r="U8" s="99" t="s">
        <v>61</v>
      </c>
      <c r="V8" s="103" t="s">
        <v>60</v>
      </c>
      <c r="W8" s="99" t="s">
        <v>55</v>
      </c>
      <c r="Y8" s="103"/>
      <c r="Z8" s="103"/>
      <c r="AN8" s="101"/>
    </row>
    <row r="9" spans="1:40" x14ac:dyDescent="0.35">
      <c r="A9" s="102" t="s">
        <v>62</v>
      </c>
      <c r="B9" s="99" t="s">
        <v>63</v>
      </c>
      <c r="I9" s="99" t="s">
        <v>64</v>
      </c>
      <c r="N9" s="99" t="s">
        <v>65</v>
      </c>
      <c r="Q9" s="99" t="s">
        <v>66</v>
      </c>
      <c r="T9" s="103"/>
      <c r="U9" s="104" t="s">
        <v>55</v>
      </c>
      <c r="W9" s="103"/>
      <c r="X9" s="103"/>
      <c r="Y9" s="103"/>
      <c r="Z9" s="99" t="s">
        <v>57</v>
      </c>
      <c r="AA9" s="103"/>
      <c r="AB9" s="103"/>
      <c r="AC9" s="99" t="s">
        <v>67</v>
      </c>
      <c r="AE9" s="103"/>
      <c r="AF9" s="103"/>
      <c r="AG9" s="104" t="s">
        <v>55</v>
      </c>
      <c r="AI9" s="103"/>
      <c r="AJ9" s="103"/>
      <c r="AK9" s="103"/>
      <c r="AL9" s="99" t="s">
        <v>57</v>
      </c>
      <c r="AM9" s="103"/>
      <c r="AN9" s="105"/>
    </row>
    <row r="10" spans="1:40" x14ac:dyDescent="0.35">
      <c r="A10" s="102"/>
      <c r="N10" s="99" t="s">
        <v>68</v>
      </c>
      <c r="T10" s="103"/>
      <c r="U10" s="104" t="s">
        <v>55</v>
      </c>
      <c r="W10" s="103"/>
      <c r="X10" s="103"/>
      <c r="Y10" s="103"/>
      <c r="Z10" s="99" t="s">
        <v>57</v>
      </c>
      <c r="AA10" s="103"/>
      <c r="AB10" s="103"/>
      <c r="AN10" s="101"/>
    </row>
    <row r="11" spans="1:40" x14ac:dyDescent="0.35">
      <c r="A11" s="102" t="s">
        <v>69</v>
      </c>
      <c r="B11" s="99" t="s">
        <v>70</v>
      </c>
      <c r="L11" s="176" t="s">
        <v>71</v>
      </c>
      <c r="M11" s="176"/>
      <c r="N11" s="177"/>
      <c r="O11" s="176" t="s">
        <v>72</v>
      </c>
      <c r="P11" s="176"/>
      <c r="Q11" s="177"/>
      <c r="R11" s="178" t="s">
        <v>73</v>
      </c>
      <c r="S11" s="96" t="s">
        <v>74</v>
      </c>
      <c r="T11" s="181" t="s">
        <v>75</v>
      </c>
      <c r="U11" s="181"/>
      <c r="V11" s="106" t="s">
        <v>76</v>
      </c>
      <c r="W11" s="99" t="s">
        <v>77</v>
      </c>
      <c r="Y11" s="106"/>
      <c r="Z11" s="99" t="s">
        <v>73</v>
      </c>
      <c r="AN11" s="101"/>
    </row>
    <row r="12" spans="1:40" x14ac:dyDescent="0.35">
      <c r="A12" s="102"/>
      <c r="B12" s="99" t="s">
        <v>78</v>
      </c>
      <c r="F12" s="99" t="s">
        <v>79</v>
      </c>
      <c r="H12" s="99" t="s">
        <v>80</v>
      </c>
      <c r="K12" s="107" t="s">
        <v>54</v>
      </c>
      <c r="L12" s="99" t="s">
        <v>81</v>
      </c>
      <c r="O12" s="99" t="s">
        <v>82</v>
      </c>
      <c r="U12" s="107" t="s">
        <v>54</v>
      </c>
      <c r="V12" s="99" t="s">
        <v>81</v>
      </c>
      <c r="Y12" s="99" t="s">
        <v>83</v>
      </c>
      <c r="AB12" s="103" t="s">
        <v>54</v>
      </c>
      <c r="AC12" s="99" t="s">
        <v>81</v>
      </c>
      <c r="AF12" s="99" t="s">
        <v>84</v>
      </c>
      <c r="AI12" s="103" t="s">
        <v>54</v>
      </c>
      <c r="AJ12" s="99" t="s">
        <v>81</v>
      </c>
      <c r="AN12" s="101"/>
    </row>
    <row r="13" spans="1:40" x14ac:dyDescent="0.35">
      <c r="A13" s="102"/>
      <c r="H13" s="99" t="s">
        <v>85</v>
      </c>
      <c r="K13" s="103" t="s">
        <v>54</v>
      </c>
      <c r="L13" s="99" t="s">
        <v>81</v>
      </c>
      <c r="O13" s="99" t="s">
        <v>86</v>
      </c>
      <c r="U13" s="103" t="s">
        <v>54</v>
      </c>
      <c r="V13" s="99" t="s">
        <v>81</v>
      </c>
      <c r="Y13" s="99" t="s">
        <v>87</v>
      </c>
      <c r="AB13" s="103" t="s">
        <v>54</v>
      </c>
      <c r="AC13" s="99" t="s">
        <v>81</v>
      </c>
      <c r="AF13" s="99" t="s">
        <v>88</v>
      </c>
      <c r="AI13" s="103" t="s">
        <v>54</v>
      </c>
      <c r="AJ13" s="99" t="s">
        <v>81</v>
      </c>
      <c r="AN13" s="101"/>
    </row>
    <row r="14" spans="1:40" x14ac:dyDescent="0.35">
      <c r="A14" s="102" t="s">
        <v>89</v>
      </c>
      <c r="B14" s="99" t="s">
        <v>90</v>
      </c>
      <c r="H14" s="99" t="s">
        <v>91</v>
      </c>
      <c r="L14" s="99" t="s">
        <v>60</v>
      </c>
      <c r="O14" s="99" t="s">
        <v>60</v>
      </c>
      <c r="AN14" s="101"/>
    </row>
    <row r="15" spans="1:40" x14ac:dyDescent="0.35">
      <c r="A15" s="102"/>
      <c r="H15" s="99" t="s">
        <v>92</v>
      </c>
      <c r="L15" s="108" t="s">
        <v>60</v>
      </c>
      <c r="M15" s="108"/>
      <c r="O15" s="108" t="s">
        <v>60</v>
      </c>
      <c r="P15" s="108"/>
      <c r="R15" s="108"/>
      <c r="S15" s="108"/>
      <c r="U15" s="108"/>
      <c r="V15" s="108"/>
      <c r="X15" s="108"/>
      <c r="Y15" s="108"/>
      <c r="AA15" s="108"/>
      <c r="AB15" s="108"/>
      <c r="AD15" s="108"/>
      <c r="AE15" s="108"/>
      <c r="AG15" s="108"/>
      <c r="AH15" s="108"/>
      <c r="AJ15" s="108"/>
      <c r="AK15" s="108"/>
      <c r="AM15" s="108"/>
      <c r="AN15" s="109"/>
    </row>
    <row r="16" spans="1:40" ht="20.45" customHeight="1" x14ac:dyDescent="0.35">
      <c r="A16" s="102" t="s">
        <v>93</v>
      </c>
      <c r="B16" s="99" t="s">
        <v>94</v>
      </c>
      <c r="G16" s="99" t="s">
        <v>95</v>
      </c>
      <c r="H16" s="103"/>
      <c r="I16" s="103"/>
      <c r="J16" s="103"/>
      <c r="K16" s="103"/>
      <c r="L16" s="103"/>
      <c r="M16" s="103"/>
      <c r="N16" s="103"/>
      <c r="O16" s="103"/>
      <c r="P16" s="103"/>
      <c r="Q16" s="99" t="s">
        <v>96</v>
      </c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N16" s="101"/>
    </row>
    <row r="17" spans="1:40" ht="12" customHeight="1" thickBot="1" x14ac:dyDescent="0.4">
      <c r="A17" s="110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2"/>
    </row>
    <row r="18" spans="1:40" ht="21" customHeight="1" x14ac:dyDescent="0.35">
      <c r="A18" s="113"/>
      <c r="B18" s="114"/>
      <c r="C18" s="114"/>
      <c r="D18" s="114"/>
      <c r="E18" s="114"/>
      <c r="F18" s="114" t="s">
        <v>300</v>
      </c>
      <c r="G18" s="174"/>
      <c r="H18" s="174"/>
      <c r="I18" s="174"/>
      <c r="J18" s="174"/>
      <c r="K18" s="174"/>
      <c r="L18" s="174"/>
      <c r="M18" s="175"/>
      <c r="N18" s="179"/>
      <c r="O18" s="179"/>
      <c r="P18" s="179"/>
      <c r="Q18" s="180" t="s">
        <v>97</v>
      </c>
      <c r="R18" s="180"/>
      <c r="S18" s="180"/>
      <c r="T18" s="180"/>
      <c r="U18" s="180"/>
      <c r="V18" s="179"/>
      <c r="W18" s="179"/>
      <c r="X18" s="179"/>
      <c r="Y18" s="179"/>
      <c r="Z18" s="179"/>
      <c r="AA18" s="179"/>
      <c r="AB18" s="179"/>
      <c r="AC18" s="180" t="s">
        <v>98</v>
      </c>
      <c r="AD18" s="179"/>
      <c r="AE18" s="179"/>
      <c r="AF18" s="179"/>
      <c r="AG18" s="179"/>
      <c r="AH18" s="179"/>
      <c r="AI18" s="179"/>
      <c r="AJ18" s="114"/>
      <c r="AK18" s="114"/>
      <c r="AL18" s="114"/>
      <c r="AM18" s="114"/>
      <c r="AN18" s="115"/>
    </row>
    <row r="19" spans="1:40" ht="6" customHeight="1" thickBot="1" x14ac:dyDescent="0.4">
      <c r="A19" s="110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2"/>
    </row>
    <row r="20" spans="1:40" ht="12" customHeight="1" thickBot="1" x14ac:dyDescent="0.4"/>
    <row r="21" spans="1:40" ht="18.75" customHeight="1" x14ac:dyDescent="0.35">
      <c r="A21" s="163" t="s">
        <v>99</v>
      </c>
      <c r="B21" s="164"/>
      <c r="C21" s="162"/>
      <c r="D21" s="162"/>
      <c r="E21" s="165" t="s">
        <v>100</v>
      </c>
      <c r="F21" s="162"/>
      <c r="G21" s="164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6"/>
      <c r="S21" s="162"/>
      <c r="T21" s="167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98"/>
    </row>
    <row r="22" spans="1:40" ht="18.75" customHeight="1" x14ac:dyDescent="0.35">
      <c r="A22" s="168" t="s">
        <v>101</v>
      </c>
      <c r="B22" s="169" t="s">
        <v>102</v>
      </c>
      <c r="C22" s="170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71" t="s">
        <v>103</v>
      </c>
      <c r="O22" s="169"/>
      <c r="P22" s="172" t="s">
        <v>104</v>
      </c>
      <c r="Q22" s="169" t="s">
        <v>105</v>
      </c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73"/>
      <c r="AC22" s="173"/>
      <c r="AD22" s="173"/>
      <c r="AE22" s="173"/>
      <c r="AF22" s="169"/>
      <c r="AG22" s="169"/>
      <c r="AH22" s="169"/>
      <c r="AI22" s="169"/>
      <c r="AJ22" s="169"/>
      <c r="AK22" s="169"/>
      <c r="AL22" s="169"/>
      <c r="AM22" s="169"/>
      <c r="AN22" s="97"/>
    </row>
    <row r="23" spans="1:40" ht="18.75" customHeight="1" x14ac:dyDescent="0.35">
      <c r="A23" s="54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71" t="s">
        <v>106</v>
      </c>
      <c r="O23" s="169"/>
      <c r="P23" s="172" t="s">
        <v>104</v>
      </c>
      <c r="Q23" s="169" t="s">
        <v>107</v>
      </c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73"/>
      <c r="AC23" s="173"/>
      <c r="AD23" s="173"/>
      <c r="AE23" s="173"/>
      <c r="AF23" s="169"/>
      <c r="AG23" s="169"/>
      <c r="AH23" s="169"/>
      <c r="AI23" s="169"/>
      <c r="AJ23" s="169"/>
      <c r="AK23" s="169"/>
      <c r="AL23" s="169"/>
      <c r="AM23" s="169"/>
      <c r="AN23" s="97"/>
    </row>
    <row r="24" spans="1:40" ht="18.75" customHeight="1" x14ac:dyDescent="0.35">
      <c r="A24" s="54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71" t="s">
        <v>108</v>
      </c>
      <c r="O24" s="169"/>
      <c r="P24" s="172" t="s">
        <v>104</v>
      </c>
      <c r="Q24" s="169" t="s">
        <v>109</v>
      </c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73"/>
      <c r="AC24" s="173"/>
      <c r="AD24" s="173"/>
      <c r="AE24" s="173"/>
      <c r="AF24" s="169"/>
      <c r="AG24" s="169"/>
      <c r="AH24" s="169"/>
      <c r="AI24" s="169"/>
      <c r="AJ24" s="169"/>
      <c r="AK24" s="169"/>
      <c r="AL24" s="169"/>
      <c r="AM24" s="169"/>
      <c r="AN24" s="97"/>
    </row>
    <row r="25" spans="1:40" ht="18.75" customHeight="1" x14ac:dyDescent="0.35">
      <c r="A25" s="54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71" t="s">
        <v>110</v>
      </c>
      <c r="O25" s="169"/>
      <c r="P25" s="172" t="s">
        <v>104</v>
      </c>
      <c r="Q25" s="169" t="s">
        <v>111</v>
      </c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73"/>
      <c r="AC25" s="173"/>
      <c r="AD25" s="173"/>
      <c r="AE25" s="173"/>
      <c r="AF25" s="169"/>
      <c r="AG25" s="169"/>
      <c r="AH25" s="169"/>
      <c r="AI25" s="169"/>
      <c r="AJ25" s="169"/>
      <c r="AK25" s="169"/>
      <c r="AL25" s="169"/>
      <c r="AM25" s="169"/>
      <c r="AN25" s="97"/>
    </row>
    <row r="26" spans="1:40" ht="21.6" customHeight="1" x14ac:dyDescent="0.35">
      <c r="A26" s="168"/>
      <c r="B26" s="169" t="s">
        <v>301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73"/>
      <c r="AK26" s="173"/>
      <c r="AL26" s="173"/>
      <c r="AM26" s="173"/>
      <c r="AN26" s="97"/>
    </row>
    <row r="27" spans="1:40" ht="19.5" customHeight="1" x14ac:dyDescent="0.35">
      <c r="A27" s="168"/>
      <c r="B27" s="169" t="s">
        <v>112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73"/>
      <c r="AK27" s="173"/>
      <c r="AL27" s="173"/>
      <c r="AM27" s="173"/>
      <c r="AN27" s="97"/>
    </row>
    <row r="28" spans="1:40" ht="19.5" customHeight="1" x14ac:dyDescent="0.35">
      <c r="A28" s="168" t="s">
        <v>53</v>
      </c>
      <c r="B28" s="169" t="s">
        <v>113</v>
      </c>
      <c r="C28" s="170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73"/>
      <c r="AK28" s="173"/>
      <c r="AL28" s="173"/>
      <c r="AM28" s="173"/>
      <c r="AN28" s="97"/>
    </row>
    <row r="29" spans="1:40" ht="17.45" customHeight="1" x14ac:dyDescent="0.35">
      <c r="A29" s="168" t="s">
        <v>62</v>
      </c>
      <c r="B29" s="169" t="s">
        <v>114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73"/>
      <c r="AK29" s="173"/>
      <c r="AL29" s="173"/>
      <c r="AM29" s="173"/>
      <c r="AN29" s="97"/>
    </row>
    <row r="30" spans="1:40" ht="19.5" customHeight="1" x14ac:dyDescent="0.35">
      <c r="A30" s="168" t="s">
        <v>69</v>
      </c>
      <c r="B30" s="169" t="s">
        <v>115</v>
      </c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73"/>
      <c r="AK30" s="173"/>
      <c r="AL30" s="173"/>
      <c r="AM30" s="173"/>
      <c r="AN30" s="97"/>
    </row>
    <row r="31" spans="1:40" ht="13.5" customHeight="1" thickBot="1" x14ac:dyDescent="0.4">
      <c r="A31" s="110"/>
      <c r="B31" s="111"/>
      <c r="C31" s="111"/>
      <c r="D31" s="111"/>
      <c r="E31" s="116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2"/>
    </row>
  </sheetData>
  <mergeCells count="6">
    <mergeCell ref="T11:U11"/>
    <mergeCell ref="H8:I8"/>
    <mergeCell ref="A5:AN5"/>
    <mergeCell ref="A1:AN1"/>
    <mergeCell ref="A2:AN2"/>
    <mergeCell ref="A3:AN3"/>
  </mergeCells>
  <pageMargins left="0.35433070866141736" right="0.15748031496062992" top="0.19685039370078741" bottom="0" header="0.23622047244094491" footer="0.15748031496062992"/>
  <pageSetup paperSize="9" orientation="landscape" r:id="rId1"/>
  <headerFooter alignWithMargins="0">
    <oddHeader>&amp;R&amp;"TH SarabunPSK,Regular"&amp;12พนักงานระดับปฏิบัติการ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24"/>
  <sheetViews>
    <sheetView tabSelected="1" view="pageBreakPreview" zoomScale="85" zoomScaleNormal="100" zoomScaleSheetLayoutView="85" workbookViewId="0">
      <selection activeCell="C15" sqref="C15"/>
    </sheetView>
  </sheetViews>
  <sheetFormatPr defaultColWidth="9.140625" defaultRowHeight="18.75" x14ac:dyDescent="0.3"/>
  <cols>
    <col min="1" max="1" width="7.28515625" style="58" customWidth="1"/>
    <col min="2" max="2" width="80.85546875" style="58" customWidth="1"/>
    <col min="3" max="3" width="10.85546875" style="58" customWidth="1"/>
    <col min="4" max="4" width="18.5703125" style="58" customWidth="1"/>
    <col min="5" max="5" width="9.140625" style="58"/>
    <col min="6" max="6" width="9.42578125" style="58" bestFit="1" customWidth="1"/>
    <col min="7" max="7" width="35.28515625" style="58" customWidth="1"/>
    <col min="8" max="8" width="11.42578125" style="58" customWidth="1"/>
    <col min="9" max="16384" width="9.140625" style="58"/>
  </cols>
  <sheetData>
    <row r="1" spans="1:13" ht="23.25" x14ac:dyDescent="0.35">
      <c r="A1" s="57"/>
      <c r="B1" s="187" t="s">
        <v>1</v>
      </c>
      <c r="C1" s="187"/>
      <c r="D1" s="187"/>
      <c r="E1" s="187"/>
      <c r="F1" s="187"/>
      <c r="G1" s="187"/>
      <c r="H1" s="187"/>
    </row>
    <row r="2" spans="1:13" s="83" customFormat="1" ht="96.6" customHeight="1" x14ac:dyDescent="0.5">
      <c r="A2" s="59" t="s">
        <v>2</v>
      </c>
      <c r="B2" s="59" t="s">
        <v>3</v>
      </c>
      <c r="C2" s="60" t="s">
        <v>116</v>
      </c>
      <c r="D2" s="60" t="s">
        <v>117</v>
      </c>
      <c r="E2" s="60" t="s">
        <v>6</v>
      </c>
      <c r="F2" s="60" t="s">
        <v>7</v>
      </c>
      <c r="G2" s="60" t="s">
        <v>8</v>
      </c>
      <c r="H2" s="60" t="s">
        <v>9</v>
      </c>
    </row>
    <row r="3" spans="1:13" ht="19.5" x14ac:dyDescent="0.3">
      <c r="A3" s="61" t="s">
        <v>40</v>
      </c>
      <c r="B3" s="62"/>
      <c r="C3" s="75">
        <f>SUM(C4:C5)</f>
        <v>0</v>
      </c>
      <c r="D3" s="79"/>
      <c r="E3" s="75">
        <f>SUM(E4:E5)</f>
        <v>0</v>
      </c>
      <c r="F3" s="75">
        <f>SUM(F4:F5)</f>
        <v>0</v>
      </c>
      <c r="G3" s="63"/>
      <c r="H3" s="64"/>
    </row>
    <row r="4" spans="1:13" ht="21" customHeight="1" x14ac:dyDescent="0.3">
      <c r="A4" s="84">
        <v>1.1000000000000001</v>
      </c>
      <c r="B4" s="85"/>
      <c r="C4" s="86"/>
      <c r="D4" s="86"/>
      <c r="E4" s="86">
        <f>C4*D4</f>
        <v>0</v>
      </c>
      <c r="F4" s="86">
        <f>E4/4</f>
        <v>0</v>
      </c>
      <c r="G4" s="85"/>
      <c r="H4" s="87"/>
      <c r="I4" s="88"/>
      <c r="J4" s="88"/>
      <c r="K4" s="88"/>
      <c r="L4" s="88"/>
      <c r="M4" s="88"/>
    </row>
    <row r="5" spans="1:13" ht="21" customHeight="1" x14ac:dyDescent="0.3">
      <c r="A5" s="59"/>
      <c r="B5" s="85"/>
      <c r="C5" s="89"/>
      <c r="D5" s="89"/>
      <c r="E5" s="86">
        <f>C5*D5</f>
        <v>0</v>
      </c>
      <c r="F5" s="86">
        <f>E5/4</f>
        <v>0</v>
      </c>
      <c r="G5" s="90"/>
      <c r="H5" s="91"/>
      <c r="I5" s="92"/>
      <c r="J5" s="92"/>
      <c r="K5" s="92"/>
      <c r="L5" s="92"/>
      <c r="M5" s="92"/>
    </row>
    <row r="6" spans="1:13" ht="21" customHeight="1" x14ac:dyDescent="0.3">
      <c r="A6" s="65" t="s">
        <v>41</v>
      </c>
      <c r="B6" s="66"/>
      <c r="C6" s="75">
        <f>SUM(C7:C8)</f>
        <v>0</v>
      </c>
      <c r="D6" s="80"/>
      <c r="E6" s="75">
        <f>SUM(E7:E8)</f>
        <v>0</v>
      </c>
      <c r="F6" s="75">
        <f>SUM(F7:F8)</f>
        <v>0</v>
      </c>
      <c r="G6" s="67"/>
      <c r="H6" s="64"/>
    </row>
    <row r="7" spans="1:13" ht="21" customHeight="1" x14ac:dyDescent="0.3">
      <c r="A7" s="60">
        <v>2.1</v>
      </c>
      <c r="B7" s="85"/>
      <c r="C7" s="89"/>
      <c r="D7" s="89"/>
      <c r="E7" s="86">
        <f>C7*D7</f>
        <v>0</v>
      </c>
      <c r="F7" s="86">
        <f>E7/4</f>
        <v>0</v>
      </c>
      <c r="G7" s="90"/>
      <c r="H7" s="84"/>
      <c r="I7" s="92"/>
      <c r="J7" s="92"/>
      <c r="K7" s="92"/>
      <c r="L7" s="92"/>
      <c r="M7" s="92"/>
    </row>
    <row r="8" spans="1:13" ht="21" customHeight="1" x14ac:dyDescent="0.3">
      <c r="A8" s="60"/>
      <c r="B8" s="85"/>
      <c r="C8" s="89"/>
      <c r="D8" s="89"/>
      <c r="E8" s="86">
        <f>C8*D8</f>
        <v>0</v>
      </c>
      <c r="F8" s="86">
        <f>E8/4</f>
        <v>0</v>
      </c>
      <c r="G8" s="90"/>
      <c r="H8" s="84"/>
      <c r="I8" s="92"/>
      <c r="J8" s="92"/>
      <c r="K8" s="92"/>
      <c r="L8" s="92"/>
      <c r="M8" s="92"/>
    </row>
    <row r="9" spans="1:13" ht="21" customHeight="1" x14ac:dyDescent="0.3">
      <c r="A9" s="65" t="s">
        <v>42</v>
      </c>
      <c r="B9" s="66"/>
      <c r="C9" s="75">
        <f>SUM(C10:C11)</f>
        <v>0</v>
      </c>
      <c r="D9" s="80"/>
      <c r="E9" s="75">
        <f>SUM(E10:E11)</f>
        <v>0</v>
      </c>
      <c r="F9" s="75">
        <f>SUM(F10:F11)</f>
        <v>0</v>
      </c>
      <c r="G9" s="67"/>
      <c r="H9" s="64"/>
    </row>
    <row r="10" spans="1:13" ht="21" customHeight="1" x14ac:dyDescent="0.3">
      <c r="A10" s="84">
        <v>3.1</v>
      </c>
      <c r="B10" s="85"/>
      <c r="C10" s="86"/>
      <c r="D10" s="86"/>
      <c r="E10" s="86">
        <f>C10*D10</f>
        <v>0</v>
      </c>
      <c r="F10" s="86">
        <f>E10/4</f>
        <v>0</v>
      </c>
      <c r="G10" s="85"/>
      <c r="H10" s="84"/>
      <c r="I10" s="88"/>
      <c r="J10" s="88"/>
      <c r="K10" s="88"/>
      <c r="L10" s="88"/>
      <c r="M10" s="88"/>
    </row>
    <row r="11" spans="1:13" ht="21" customHeight="1" x14ac:dyDescent="0.3">
      <c r="A11" s="84"/>
      <c r="B11" s="90"/>
      <c r="C11" s="89"/>
      <c r="D11" s="89"/>
      <c r="E11" s="86">
        <f>C11*D11</f>
        <v>0</v>
      </c>
      <c r="F11" s="86">
        <f>E11/4</f>
        <v>0</v>
      </c>
      <c r="G11" s="90"/>
      <c r="H11" s="84"/>
      <c r="I11" s="92"/>
      <c r="J11" s="92"/>
      <c r="K11" s="92"/>
      <c r="L11" s="92"/>
      <c r="M11" s="92"/>
    </row>
    <row r="12" spans="1:13" ht="21" customHeight="1" x14ac:dyDescent="0.3">
      <c r="A12" s="65" t="s">
        <v>43</v>
      </c>
      <c r="B12" s="66"/>
      <c r="C12" s="75">
        <f>SUM(C13:C14)</f>
        <v>0</v>
      </c>
      <c r="D12" s="81"/>
      <c r="E12" s="75">
        <f>SUM(E13:E14)</f>
        <v>0</v>
      </c>
      <c r="F12" s="75">
        <f>SUM(F13:F14)</f>
        <v>0</v>
      </c>
      <c r="G12" s="68"/>
      <c r="H12" s="69"/>
    </row>
    <row r="13" spans="1:13" ht="21" customHeight="1" x14ac:dyDescent="0.3">
      <c r="A13" s="73">
        <v>4.0999999999999996</v>
      </c>
      <c r="B13" s="70"/>
      <c r="C13" s="71"/>
      <c r="D13" s="71"/>
      <c r="E13" s="86">
        <f>C13*D13</f>
        <v>0</v>
      </c>
      <c r="F13" s="86">
        <f>E13/4</f>
        <v>0</v>
      </c>
      <c r="G13" s="74"/>
      <c r="H13" s="73"/>
    </row>
    <row r="14" spans="1:13" ht="21" customHeight="1" x14ac:dyDescent="0.3">
      <c r="A14" s="73"/>
      <c r="B14" s="70"/>
      <c r="C14" s="71"/>
      <c r="D14" s="71"/>
      <c r="E14" s="86">
        <f>C14*D14</f>
        <v>0</v>
      </c>
      <c r="F14" s="86">
        <f>E14/4</f>
        <v>0</v>
      </c>
      <c r="G14" s="74"/>
      <c r="H14" s="73"/>
    </row>
    <row r="15" spans="1:13" ht="21" customHeight="1" x14ac:dyDescent="0.3">
      <c r="A15" s="185" t="s">
        <v>44</v>
      </c>
      <c r="B15" s="186"/>
      <c r="C15" s="71" t="b">
        <f>E21=SUM(C3+C6+C9+C12)</f>
        <v>1</v>
      </c>
      <c r="D15" s="82"/>
      <c r="E15" s="71">
        <f>SUM(E3+E6+E9+E12)</f>
        <v>0</v>
      </c>
      <c r="F15" s="71">
        <f>SUM(F3+F6+F9+F12)</f>
        <v>0</v>
      </c>
      <c r="G15" s="70" t="s">
        <v>27</v>
      </c>
      <c r="H15" s="72"/>
    </row>
    <row r="16" spans="1:13" ht="9.6" customHeight="1" x14ac:dyDescent="0.3">
      <c r="A16" s="93"/>
      <c r="B16" s="93"/>
      <c r="C16" s="93"/>
      <c r="D16" s="93"/>
      <c r="E16" s="93"/>
      <c r="F16" s="93"/>
      <c r="G16" s="93"/>
      <c r="H16" s="93"/>
    </row>
    <row r="17" spans="1:4" x14ac:dyDescent="0.3">
      <c r="A17" s="55" t="s">
        <v>291</v>
      </c>
      <c r="B17" s="58" t="s">
        <v>118</v>
      </c>
    </row>
    <row r="18" spans="1:4" x14ac:dyDescent="0.3">
      <c r="B18" s="58" t="s">
        <v>119</v>
      </c>
    </row>
    <row r="19" spans="1:4" x14ac:dyDescent="0.3">
      <c r="A19" s="94" t="s">
        <v>31</v>
      </c>
      <c r="B19" s="95" t="s">
        <v>32</v>
      </c>
    </row>
    <row r="20" spans="1:4" x14ac:dyDescent="0.3">
      <c r="B20" s="56" t="s">
        <v>33</v>
      </c>
    </row>
    <row r="21" spans="1:4" x14ac:dyDescent="0.3">
      <c r="B21" s="56" t="s">
        <v>34</v>
      </c>
      <c r="D21" s="58" t="s">
        <v>35</v>
      </c>
    </row>
    <row r="22" spans="1:4" x14ac:dyDescent="0.3">
      <c r="B22" s="56" t="s">
        <v>36</v>
      </c>
      <c r="D22" s="58" t="s">
        <v>35</v>
      </c>
    </row>
    <row r="23" spans="1:4" x14ac:dyDescent="0.3">
      <c r="B23" s="56" t="s">
        <v>37</v>
      </c>
      <c r="D23" s="58" t="s">
        <v>35</v>
      </c>
    </row>
    <row r="24" spans="1:4" x14ac:dyDescent="0.3">
      <c r="D24" s="96"/>
    </row>
  </sheetData>
  <dataConsolidate/>
  <mergeCells count="2">
    <mergeCell ref="A15:B15"/>
    <mergeCell ref="B1:H1"/>
  </mergeCells>
  <dataValidations count="1">
    <dataValidation type="list" allowBlank="1" showInputMessage="1" showErrorMessage="1" sqref="H7:H8 H10:H11">
      <formula1>#REF!</formula1>
    </dataValidation>
  </dataValidations>
  <pageMargins left="0.23622047244094491" right="0.23622047244094491" top="0.56000000000000005" bottom="0.23622047244094491" header="0.39" footer="0.15748031496062992"/>
  <pageSetup paperSize="9" scale="85" fitToHeight="0" orientation="landscape" r:id="rId1"/>
  <headerFooter>
    <oddHeader>&amp;R&amp;"TH SarabunPSK,Regular"&amp;12พนักงานระดับปฏิบัติการ</oddHeader>
  </headerFooter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23">
    <tabColor rgb="FF92D050"/>
  </sheetPr>
  <dimension ref="A1:AM84"/>
  <sheetViews>
    <sheetView topLeftCell="A40" zoomScale="80" zoomScaleNormal="80" zoomScaleSheetLayoutView="100" workbookViewId="0">
      <selection activeCell="X6" sqref="X6:Z6"/>
    </sheetView>
  </sheetViews>
  <sheetFormatPr defaultColWidth="3.85546875" defaultRowHeight="18.75" x14ac:dyDescent="0.5"/>
  <cols>
    <col min="1" max="19" width="3.85546875" style="56"/>
    <col min="20" max="20" width="10.28515625" style="56" customWidth="1"/>
    <col min="21" max="38" width="3.85546875" style="56"/>
    <col min="39" max="39" width="4.5703125" style="56" customWidth="1"/>
    <col min="40" max="16384" width="3.85546875" style="56"/>
  </cols>
  <sheetData>
    <row r="1" spans="1:39" ht="19.5" thickBot="1" x14ac:dyDescent="0.55000000000000004">
      <c r="A1" s="199" t="s">
        <v>120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1"/>
    </row>
    <row r="2" spans="1:39" ht="21.75" customHeight="1" x14ac:dyDescent="0.5"/>
    <row r="3" spans="1:39" x14ac:dyDescent="0.5">
      <c r="A3" s="196" t="s">
        <v>121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8"/>
      <c r="U3" s="196" t="s">
        <v>122</v>
      </c>
      <c r="V3" s="197"/>
      <c r="W3" s="198"/>
      <c r="X3" s="196" t="s">
        <v>123</v>
      </c>
      <c r="Y3" s="197"/>
      <c r="Z3" s="198"/>
      <c r="AA3" s="196" t="s">
        <v>124</v>
      </c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8"/>
    </row>
    <row r="4" spans="1:39" ht="18" customHeight="1" x14ac:dyDescent="0.5">
      <c r="A4" s="202" t="s">
        <v>125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94"/>
      <c r="V4" s="195"/>
      <c r="W4" s="205"/>
      <c r="X4" s="194"/>
      <c r="Y4" s="195"/>
      <c r="Z4" s="205"/>
      <c r="AA4" s="125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6"/>
    </row>
    <row r="5" spans="1:39" ht="18" customHeight="1" x14ac:dyDescent="0.5">
      <c r="A5" s="132" t="s">
        <v>292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188"/>
      <c r="V5" s="189"/>
      <c r="W5" s="190"/>
      <c r="X5" s="188"/>
      <c r="Y5" s="189"/>
      <c r="Z5" s="190"/>
      <c r="AA5" s="120"/>
      <c r="AM5" s="77"/>
    </row>
    <row r="6" spans="1:39" ht="18" customHeight="1" x14ac:dyDescent="0.5">
      <c r="A6" s="133" t="s">
        <v>126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188"/>
      <c r="V6" s="189"/>
      <c r="W6" s="190"/>
      <c r="X6" s="188"/>
      <c r="Y6" s="189"/>
      <c r="Z6" s="190"/>
      <c r="AA6" s="121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3"/>
    </row>
    <row r="7" spans="1:39" ht="18" customHeight="1" x14ac:dyDescent="0.5">
      <c r="A7" s="130" t="s">
        <v>104</v>
      </c>
      <c r="B7" s="95" t="s">
        <v>127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188" t="s">
        <v>128</v>
      </c>
      <c r="V7" s="189"/>
      <c r="W7" s="190"/>
      <c r="X7" s="188"/>
      <c r="Y7" s="189"/>
      <c r="Z7" s="190"/>
      <c r="AA7" s="121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3"/>
    </row>
    <row r="8" spans="1:39" ht="18" customHeight="1" x14ac:dyDescent="0.5">
      <c r="A8" s="130"/>
      <c r="B8" s="95" t="s">
        <v>129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120"/>
      <c r="W8" s="77"/>
      <c r="X8" s="188"/>
      <c r="Y8" s="189"/>
      <c r="Z8" s="190"/>
      <c r="AA8" s="121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3"/>
    </row>
    <row r="9" spans="1:39" ht="18" customHeight="1" x14ac:dyDescent="0.5">
      <c r="A9" s="130" t="s">
        <v>104</v>
      </c>
      <c r="B9" s="95" t="s">
        <v>130</v>
      </c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188" t="s">
        <v>131</v>
      </c>
      <c r="V9" s="189"/>
      <c r="W9" s="190"/>
      <c r="X9" s="188"/>
      <c r="Y9" s="189"/>
      <c r="Z9" s="190"/>
      <c r="AA9" s="121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3"/>
    </row>
    <row r="10" spans="1:39" ht="18" customHeight="1" x14ac:dyDescent="0.5">
      <c r="A10" s="130"/>
      <c r="B10" s="95" t="s">
        <v>132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130"/>
      <c r="V10" s="129"/>
      <c r="W10" s="131"/>
      <c r="X10" s="188"/>
      <c r="Y10" s="189"/>
      <c r="Z10" s="190"/>
      <c r="AA10" s="121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3"/>
    </row>
    <row r="11" spans="1:39" ht="18" customHeight="1" x14ac:dyDescent="0.5">
      <c r="A11" s="130" t="s">
        <v>104</v>
      </c>
      <c r="B11" s="95" t="s">
        <v>133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188" t="s">
        <v>134</v>
      </c>
      <c r="V11" s="189"/>
      <c r="W11" s="190"/>
      <c r="X11" s="188"/>
      <c r="Y11" s="189"/>
      <c r="Z11" s="190"/>
      <c r="AA11" s="121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3"/>
    </row>
    <row r="12" spans="1:39" ht="18" customHeight="1" x14ac:dyDescent="0.5">
      <c r="A12" s="133"/>
      <c r="B12" s="95" t="s">
        <v>135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188"/>
      <c r="V12" s="189"/>
      <c r="W12" s="190"/>
      <c r="X12" s="188"/>
      <c r="Y12" s="189"/>
      <c r="Z12" s="190"/>
      <c r="AA12" s="121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3"/>
    </row>
    <row r="13" spans="1:39" ht="18" customHeight="1" x14ac:dyDescent="0.5">
      <c r="A13" s="130" t="s">
        <v>104</v>
      </c>
      <c r="B13" s="95" t="s">
        <v>136</v>
      </c>
      <c r="C13" s="95"/>
      <c r="D13" s="95"/>
      <c r="E13" s="95"/>
      <c r="F13" s="95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88" t="s">
        <v>137</v>
      </c>
      <c r="V13" s="189"/>
      <c r="W13" s="190"/>
      <c r="X13" s="188"/>
      <c r="Y13" s="189"/>
      <c r="Z13" s="190"/>
      <c r="AA13" s="121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3"/>
    </row>
    <row r="14" spans="1:39" ht="18" customHeight="1" x14ac:dyDescent="0.5">
      <c r="A14" s="134"/>
      <c r="B14" s="135" t="s">
        <v>138</v>
      </c>
      <c r="C14" s="135"/>
      <c r="D14" s="135"/>
      <c r="E14" s="135"/>
      <c r="F14" s="135"/>
      <c r="G14" s="117"/>
      <c r="H14" s="117"/>
      <c r="I14" s="117"/>
      <c r="J14" s="117"/>
      <c r="K14" s="117"/>
      <c r="L14" s="128"/>
      <c r="M14" s="128"/>
      <c r="N14" s="128"/>
      <c r="O14" s="128"/>
      <c r="P14" s="128"/>
      <c r="Q14" s="128"/>
      <c r="R14" s="128"/>
      <c r="S14" s="128"/>
      <c r="T14" s="128"/>
      <c r="U14" s="191"/>
      <c r="V14" s="192"/>
      <c r="W14" s="193"/>
      <c r="X14" s="191"/>
      <c r="Y14" s="192"/>
      <c r="Z14" s="193"/>
      <c r="AA14" s="118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9"/>
    </row>
    <row r="15" spans="1:39" ht="18" customHeight="1" x14ac:dyDescent="0.5">
      <c r="A15" s="136" t="s">
        <v>293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5"/>
      <c r="V15" s="124"/>
      <c r="W15" s="126"/>
      <c r="X15" s="125"/>
      <c r="Y15" s="124"/>
      <c r="Z15" s="126"/>
      <c r="AM15" s="77"/>
    </row>
    <row r="16" spans="1:39" ht="18" customHeight="1" x14ac:dyDescent="0.5">
      <c r="A16" s="120" t="s">
        <v>139</v>
      </c>
      <c r="U16" s="188"/>
      <c r="V16" s="189"/>
      <c r="W16" s="190"/>
      <c r="X16" s="188"/>
      <c r="Y16" s="189"/>
      <c r="Z16" s="190"/>
      <c r="AA16" s="121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3"/>
    </row>
    <row r="17" spans="1:39" ht="18" customHeight="1" x14ac:dyDescent="0.5">
      <c r="A17" s="130" t="s">
        <v>104</v>
      </c>
      <c r="B17" s="56" t="s">
        <v>140</v>
      </c>
      <c r="U17" s="188" t="s">
        <v>128</v>
      </c>
      <c r="V17" s="189"/>
      <c r="W17" s="190"/>
      <c r="X17" s="188"/>
      <c r="Y17" s="189"/>
      <c r="Z17" s="190"/>
      <c r="AA17" s="121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3"/>
    </row>
    <row r="18" spans="1:39" ht="18" customHeight="1" x14ac:dyDescent="0.5">
      <c r="A18" s="120"/>
      <c r="B18" s="56" t="s">
        <v>141</v>
      </c>
      <c r="U18" s="188"/>
      <c r="V18" s="189"/>
      <c r="W18" s="190"/>
      <c r="X18" s="188"/>
      <c r="Y18" s="189"/>
      <c r="Z18" s="190"/>
      <c r="AA18" s="121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3"/>
    </row>
    <row r="19" spans="1:39" ht="18" customHeight="1" x14ac:dyDescent="0.5">
      <c r="A19" s="130" t="s">
        <v>104</v>
      </c>
      <c r="B19" s="56" t="s">
        <v>142</v>
      </c>
      <c r="U19" s="188" t="s">
        <v>131</v>
      </c>
      <c r="V19" s="189"/>
      <c r="W19" s="190"/>
      <c r="X19" s="188"/>
      <c r="Y19" s="189"/>
      <c r="Z19" s="190"/>
      <c r="AA19" s="121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3"/>
    </row>
    <row r="20" spans="1:39" ht="18" customHeight="1" x14ac:dyDescent="0.5">
      <c r="A20" s="120"/>
      <c r="B20" s="56" t="s">
        <v>143</v>
      </c>
      <c r="U20" s="188"/>
      <c r="V20" s="189"/>
      <c r="W20" s="190"/>
      <c r="X20" s="188"/>
      <c r="Y20" s="189"/>
      <c r="Z20" s="190"/>
      <c r="AA20" s="121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3"/>
    </row>
    <row r="21" spans="1:39" ht="18" customHeight="1" x14ac:dyDescent="0.5">
      <c r="A21" s="130" t="s">
        <v>104</v>
      </c>
      <c r="B21" s="56" t="s">
        <v>144</v>
      </c>
      <c r="U21" s="188" t="s">
        <v>134</v>
      </c>
      <c r="V21" s="189"/>
      <c r="W21" s="190"/>
      <c r="X21" s="188"/>
      <c r="Y21" s="189"/>
      <c r="Z21" s="190"/>
      <c r="AA21" s="121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3"/>
    </row>
    <row r="22" spans="1:39" ht="18" customHeight="1" x14ac:dyDescent="0.5">
      <c r="A22" s="130" t="s">
        <v>104</v>
      </c>
      <c r="B22" s="56" t="s">
        <v>145</v>
      </c>
      <c r="U22" s="188" t="s">
        <v>146</v>
      </c>
      <c r="V22" s="189"/>
      <c r="W22" s="190"/>
      <c r="X22" s="188"/>
      <c r="Y22" s="189"/>
      <c r="Z22" s="190"/>
      <c r="AA22" s="121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3"/>
    </row>
    <row r="23" spans="1:39" ht="18" customHeight="1" x14ac:dyDescent="0.5">
      <c r="A23" s="118"/>
      <c r="B23" s="117" t="s">
        <v>147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8"/>
      <c r="V23" s="117"/>
      <c r="W23" s="119"/>
      <c r="X23" s="191"/>
      <c r="Y23" s="192"/>
      <c r="Z23" s="193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9"/>
    </row>
    <row r="24" spans="1:39" ht="18" customHeight="1" x14ac:dyDescent="0.5">
      <c r="A24" s="202" t="s">
        <v>148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4"/>
      <c r="U24" s="120"/>
      <c r="W24" s="77"/>
      <c r="X24" s="130"/>
      <c r="Y24" s="129"/>
      <c r="Z24" s="131"/>
      <c r="AM24" s="77"/>
    </row>
    <row r="25" spans="1:39" ht="18" customHeight="1" x14ac:dyDescent="0.5">
      <c r="A25" s="132" t="s">
        <v>294</v>
      </c>
      <c r="B25" s="95"/>
      <c r="C25" s="95"/>
      <c r="D25" s="95"/>
      <c r="E25" s="95"/>
      <c r="F25" s="95"/>
      <c r="L25" s="129"/>
      <c r="M25" s="129"/>
      <c r="N25" s="129"/>
      <c r="O25" s="129"/>
      <c r="P25" s="129"/>
      <c r="Q25" s="129"/>
      <c r="R25" s="129"/>
      <c r="S25" s="129"/>
      <c r="T25" s="129"/>
      <c r="U25" s="188"/>
      <c r="V25" s="189"/>
      <c r="W25" s="190"/>
      <c r="X25" s="188"/>
      <c r="Y25" s="189"/>
      <c r="Z25" s="190"/>
      <c r="AA25" s="120"/>
      <c r="AM25" s="77"/>
    </row>
    <row r="26" spans="1:39" ht="18" customHeight="1" x14ac:dyDescent="0.5">
      <c r="A26" s="130" t="s">
        <v>104</v>
      </c>
      <c r="B26" s="95" t="s">
        <v>149</v>
      </c>
      <c r="C26" s="95"/>
      <c r="D26" s="95"/>
      <c r="E26" s="95"/>
      <c r="F26" s="95"/>
      <c r="L26" s="129"/>
      <c r="M26" s="129"/>
      <c r="N26" s="129"/>
      <c r="O26" s="129"/>
      <c r="P26" s="129"/>
      <c r="Q26" s="129"/>
      <c r="R26" s="129"/>
      <c r="S26" s="129"/>
      <c r="T26" s="129"/>
      <c r="U26" s="188" t="s">
        <v>150</v>
      </c>
      <c r="V26" s="189"/>
      <c r="W26" s="190"/>
      <c r="X26" s="188"/>
      <c r="Y26" s="189"/>
      <c r="Z26" s="190"/>
      <c r="AA26" s="121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3"/>
    </row>
    <row r="27" spans="1:39" ht="18" customHeight="1" x14ac:dyDescent="0.5">
      <c r="A27" s="133"/>
      <c r="B27" s="95" t="s">
        <v>151</v>
      </c>
      <c r="C27" s="95"/>
      <c r="D27" s="95"/>
      <c r="E27" s="95"/>
      <c r="F27" s="95"/>
      <c r="L27" s="129"/>
      <c r="M27" s="129"/>
      <c r="N27" s="129"/>
      <c r="O27" s="129"/>
      <c r="P27" s="129"/>
      <c r="Q27" s="129"/>
      <c r="R27" s="129"/>
      <c r="S27" s="129"/>
      <c r="T27" s="129"/>
      <c r="U27" s="188"/>
      <c r="V27" s="189"/>
      <c r="W27" s="190"/>
      <c r="X27" s="188"/>
      <c r="Y27" s="189"/>
      <c r="Z27" s="190"/>
      <c r="AA27" s="121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3"/>
    </row>
    <row r="28" spans="1:39" ht="18" customHeight="1" x14ac:dyDescent="0.5">
      <c r="A28" s="130" t="s">
        <v>104</v>
      </c>
      <c r="B28" s="95" t="s">
        <v>152</v>
      </c>
      <c r="C28" s="95"/>
      <c r="D28" s="95"/>
      <c r="E28" s="95"/>
      <c r="F28" s="95"/>
      <c r="L28" s="129"/>
      <c r="M28" s="129"/>
      <c r="N28" s="129"/>
      <c r="O28" s="129"/>
      <c r="P28" s="129"/>
      <c r="Q28" s="129"/>
      <c r="R28" s="129"/>
      <c r="S28" s="129"/>
      <c r="T28" s="129"/>
      <c r="U28" s="188" t="s">
        <v>153</v>
      </c>
      <c r="V28" s="189"/>
      <c r="W28" s="190"/>
      <c r="X28" s="188"/>
      <c r="Y28" s="189"/>
      <c r="Z28" s="190"/>
      <c r="AA28" s="121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3"/>
    </row>
    <row r="29" spans="1:39" ht="18" customHeight="1" x14ac:dyDescent="0.5">
      <c r="A29" s="130" t="s">
        <v>104</v>
      </c>
      <c r="B29" s="95" t="s">
        <v>154</v>
      </c>
      <c r="C29" s="95"/>
      <c r="D29" s="95"/>
      <c r="E29" s="95"/>
      <c r="F29" s="95"/>
      <c r="L29" s="129"/>
      <c r="M29" s="129"/>
      <c r="N29" s="129"/>
      <c r="O29" s="129"/>
      <c r="P29" s="129"/>
      <c r="Q29" s="129"/>
      <c r="R29" s="129"/>
      <c r="S29" s="129"/>
      <c r="T29" s="129"/>
      <c r="U29" s="188" t="s">
        <v>155</v>
      </c>
      <c r="V29" s="189"/>
      <c r="W29" s="190"/>
      <c r="X29" s="188"/>
      <c r="Y29" s="189"/>
      <c r="Z29" s="190"/>
      <c r="AA29" s="121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3"/>
    </row>
    <row r="30" spans="1:39" ht="18" customHeight="1" x14ac:dyDescent="0.5">
      <c r="A30" s="137" t="s">
        <v>104</v>
      </c>
      <c r="B30" s="135" t="s">
        <v>156</v>
      </c>
      <c r="C30" s="135"/>
      <c r="D30" s="135"/>
      <c r="E30" s="135"/>
      <c r="F30" s="135"/>
      <c r="G30" s="117"/>
      <c r="H30" s="117"/>
      <c r="I30" s="117"/>
      <c r="J30" s="117"/>
      <c r="K30" s="117"/>
      <c r="L30" s="128"/>
      <c r="M30" s="128"/>
      <c r="N30" s="128"/>
      <c r="O30" s="128"/>
      <c r="P30" s="128"/>
      <c r="Q30" s="128"/>
      <c r="R30" s="128"/>
      <c r="S30" s="128"/>
      <c r="T30" s="128"/>
      <c r="U30" s="191" t="s">
        <v>146</v>
      </c>
      <c r="V30" s="192"/>
      <c r="W30" s="193"/>
      <c r="X30" s="191"/>
      <c r="Y30" s="192"/>
      <c r="Z30" s="193"/>
      <c r="AA30" s="118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9"/>
    </row>
    <row r="31" spans="1:39" ht="18" customHeight="1" x14ac:dyDescent="0.5">
      <c r="A31" s="138" t="s">
        <v>295</v>
      </c>
      <c r="B31" s="139"/>
      <c r="C31" s="139"/>
      <c r="D31" s="139"/>
      <c r="E31" s="139"/>
      <c r="F31" s="139"/>
      <c r="G31" s="124"/>
      <c r="H31" s="124"/>
      <c r="I31" s="124"/>
      <c r="J31" s="124"/>
      <c r="K31" s="124"/>
      <c r="L31" s="140"/>
      <c r="M31" s="140"/>
      <c r="N31" s="140"/>
      <c r="O31" s="140"/>
      <c r="P31" s="140"/>
      <c r="Q31" s="140"/>
      <c r="R31" s="140"/>
      <c r="S31" s="140"/>
      <c r="T31" s="140"/>
      <c r="U31" s="194"/>
      <c r="V31" s="195"/>
      <c r="W31" s="205"/>
      <c r="X31" s="194"/>
      <c r="Y31" s="195"/>
      <c r="Z31" s="205"/>
      <c r="AA31" s="125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6"/>
    </row>
    <row r="32" spans="1:39" ht="18" customHeight="1" x14ac:dyDescent="0.5">
      <c r="A32" s="133" t="s">
        <v>157</v>
      </c>
      <c r="B32" s="95"/>
      <c r="C32" s="95"/>
      <c r="D32" s="95"/>
      <c r="E32" s="95"/>
      <c r="F32" s="95"/>
      <c r="L32" s="129"/>
      <c r="M32" s="129"/>
      <c r="N32" s="129"/>
      <c r="O32" s="129"/>
      <c r="P32" s="129"/>
      <c r="Q32" s="129"/>
      <c r="R32" s="129"/>
      <c r="S32" s="129"/>
      <c r="T32" s="129"/>
      <c r="U32" s="188"/>
      <c r="V32" s="189"/>
      <c r="W32" s="190"/>
      <c r="X32" s="188"/>
      <c r="Y32" s="189"/>
      <c r="Z32" s="190"/>
      <c r="AA32" s="121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3"/>
    </row>
    <row r="33" spans="1:39" ht="18" customHeight="1" x14ac:dyDescent="0.5">
      <c r="A33" s="130" t="s">
        <v>104</v>
      </c>
      <c r="B33" s="95" t="s">
        <v>158</v>
      </c>
      <c r="C33" s="95"/>
      <c r="D33" s="95"/>
      <c r="E33" s="95"/>
      <c r="F33" s="95"/>
      <c r="L33" s="129"/>
      <c r="M33" s="129"/>
      <c r="N33" s="129"/>
      <c r="O33" s="129"/>
      <c r="P33" s="129"/>
      <c r="Q33" s="129"/>
      <c r="R33" s="129"/>
      <c r="S33" s="129"/>
      <c r="T33" s="129"/>
      <c r="U33" s="188" t="s">
        <v>128</v>
      </c>
      <c r="V33" s="189"/>
      <c r="W33" s="190"/>
      <c r="X33" s="188"/>
      <c r="Y33" s="189"/>
      <c r="Z33" s="190"/>
      <c r="AA33" s="121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3"/>
    </row>
    <row r="34" spans="1:39" ht="18" customHeight="1" x14ac:dyDescent="0.5">
      <c r="A34" s="130" t="s">
        <v>104</v>
      </c>
      <c r="B34" s="95" t="s">
        <v>159</v>
      </c>
      <c r="C34" s="95"/>
      <c r="D34" s="95"/>
      <c r="E34" s="95"/>
      <c r="F34" s="95"/>
      <c r="L34" s="129"/>
      <c r="M34" s="129"/>
      <c r="N34" s="129"/>
      <c r="O34" s="129"/>
      <c r="P34" s="129"/>
      <c r="Q34" s="129"/>
      <c r="R34" s="129"/>
      <c r="S34" s="129"/>
      <c r="T34" s="129"/>
      <c r="U34" s="188" t="s">
        <v>131</v>
      </c>
      <c r="V34" s="189"/>
      <c r="W34" s="190"/>
      <c r="X34" s="188"/>
      <c r="Y34" s="189"/>
      <c r="Z34" s="190"/>
      <c r="AA34" s="121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3"/>
    </row>
    <row r="35" spans="1:39" ht="18" customHeight="1" x14ac:dyDescent="0.5">
      <c r="A35" s="130" t="s">
        <v>104</v>
      </c>
      <c r="B35" s="95" t="s">
        <v>160</v>
      </c>
      <c r="C35" s="95"/>
      <c r="D35" s="95"/>
      <c r="E35" s="95"/>
      <c r="F35" s="95"/>
      <c r="L35" s="129"/>
      <c r="M35" s="129"/>
      <c r="N35" s="129"/>
      <c r="O35" s="129"/>
      <c r="P35" s="129"/>
      <c r="Q35" s="129"/>
      <c r="R35" s="129"/>
      <c r="S35" s="129"/>
      <c r="T35" s="129"/>
      <c r="U35" s="188" t="s">
        <v>134</v>
      </c>
      <c r="V35" s="189"/>
      <c r="W35" s="190"/>
      <c r="X35" s="188"/>
      <c r="Y35" s="189"/>
      <c r="Z35" s="190"/>
      <c r="AA35" s="121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3"/>
    </row>
    <row r="36" spans="1:39" ht="18" customHeight="1" x14ac:dyDescent="0.5">
      <c r="A36" s="137" t="s">
        <v>104</v>
      </c>
      <c r="B36" s="135" t="s">
        <v>161</v>
      </c>
      <c r="C36" s="135"/>
      <c r="D36" s="135"/>
      <c r="E36" s="135"/>
      <c r="F36" s="135"/>
      <c r="G36" s="117"/>
      <c r="H36" s="117"/>
      <c r="I36" s="117"/>
      <c r="J36" s="117"/>
      <c r="K36" s="117"/>
      <c r="L36" s="128"/>
      <c r="M36" s="128"/>
      <c r="N36" s="128"/>
      <c r="O36" s="128"/>
      <c r="P36" s="128"/>
      <c r="Q36" s="128"/>
      <c r="R36" s="128"/>
      <c r="S36" s="128"/>
      <c r="T36" s="128"/>
      <c r="U36" s="191" t="s">
        <v>146</v>
      </c>
      <c r="V36" s="192"/>
      <c r="W36" s="193"/>
      <c r="X36" s="191"/>
      <c r="Y36" s="192"/>
      <c r="Z36" s="193"/>
      <c r="AA36" s="118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9"/>
    </row>
    <row r="37" spans="1:39" ht="18" customHeight="1" x14ac:dyDescent="0.5">
      <c r="A37" s="138" t="s">
        <v>296</v>
      </c>
      <c r="B37" s="141"/>
      <c r="C37" s="139"/>
      <c r="D37" s="139"/>
      <c r="E37" s="139"/>
      <c r="F37" s="139"/>
      <c r="G37" s="124"/>
      <c r="H37" s="124"/>
      <c r="I37" s="124"/>
      <c r="J37" s="124"/>
      <c r="K37" s="124"/>
      <c r="L37" s="140"/>
      <c r="M37" s="140"/>
      <c r="N37" s="140"/>
      <c r="O37" s="140"/>
      <c r="P37" s="140"/>
      <c r="Q37" s="140"/>
      <c r="R37" s="140"/>
      <c r="S37" s="140"/>
      <c r="T37" s="140"/>
      <c r="U37" s="194"/>
      <c r="V37" s="195"/>
      <c r="W37" s="205"/>
      <c r="X37" s="194"/>
      <c r="Y37" s="195"/>
      <c r="Z37" s="205"/>
      <c r="AA37" s="125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6"/>
    </row>
    <row r="38" spans="1:39" ht="18" customHeight="1" x14ac:dyDescent="0.5">
      <c r="A38" s="120" t="s">
        <v>162</v>
      </c>
      <c r="B38" s="120"/>
      <c r="U38" s="188"/>
      <c r="V38" s="189"/>
      <c r="W38" s="190"/>
      <c r="X38" s="188"/>
      <c r="Y38" s="189"/>
      <c r="Z38" s="190"/>
      <c r="AA38" s="121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3"/>
    </row>
    <row r="39" spans="1:39" ht="18" customHeight="1" x14ac:dyDescent="0.5">
      <c r="A39" s="130" t="s">
        <v>104</v>
      </c>
      <c r="B39" s="56" t="s">
        <v>163</v>
      </c>
      <c r="U39" s="188" t="s">
        <v>150</v>
      </c>
      <c r="V39" s="189"/>
      <c r="W39" s="190"/>
      <c r="X39" s="188"/>
      <c r="Y39" s="189"/>
      <c r="Z39" s="190"/>
      <c r="AA39" s="121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3"/>
    </row>
    <row r="40" spans="1:39" ht="18" customHeight="1" x14ac:dyDescent="0.5">
      <c r="A40" s="130"/>
      <c r="B40" s="56" t="s">
        <v>164</v>
      </c>
      <c r="U40" s="188"/>
      <c r="V40" s="189"/>
      <c r="W40" s="190"/>
      <c r="X40" s="188"/>
      <c r="Y40" s="189"/>
      <c r="Z40" s="190"/>
      <c r="AA40" s="121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3"/>
    </row>
    <row r="41" spans="1:39" ht="18" customHeight="1" x14ac:dyDescent="0.5">
      <c r="A41" s="130" t="s">
        <v>104</v>
      </c>
      <c r="B41" s="56" t="s">
        <v>165</v>
      </c>
      <c r="U41" s="188" t="s">
        <v>153</v>
      </c>
      <c r="V41" s="189"/>
      <c r="W41" s="190"/>
      <c r="X41" s="188"/>
      <c r="Y41" s="189"/>
      <c r="Z41" s="190"/>
      <c r="AA41" s="121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3"/>
    </row>
    <row r="42" spans="1:39" ht="18" customHeight="1" x14ac:dyDescent="0.5">
      <c r="A42" s="130"/>
      <c r="B42" s="56" t="s">
        <v>166</v>
      </c>
      <c r="U42" s="188"/>
      <c r="V42" s="189"/>
      <c r="W42" s="190"/>
      <c r="X42" s="188"/>
      <c r="Y42" s="189"/>
      <c r="Z42" s="190"/>
      <c r="AA42" s="121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3"/>
    </row>
    <row r="43" spans="1:39" ht="18" customHeight="1" x14ac:dyDescent="0.5">
      <c r="A43" s="130" t="s">
        <v>104</v>
      </c>
      <c r="B43" s="56" t="s">
        <v>167</v>
      </c>
      <c r="U43" s="188" t="s">
        <v>155</v>
      </c>
      <c r="V43" s="189"/>
      <c r="W43" s="190"/>
      <c r="X43" s="188"/>
      <c r="Y43" s="189"/>
      <c r="Z43" s="190"/>
      <c r="AA43" s="121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3"/>
    </row>
    <row r="44" spans="1:39" ht="18" customHeight="1" x14ac:dyDescent="0.5">
      <c r="A44" s="130"/>
      <c r="B44" s="56" t="s">
        <v>168</v>
      </c>
      <c r="U44" s="188"/>
      <c r="V44" s="189"/>
      <c r="W44" s="190"/>
      <c r="X44" s="188"/>
      <c r="Y44" s="189"/>
      <c r="Z44" s="190"/>
      <c r="AA44" s="121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3"/>
    </row>
    <row r="45" spans="1:39" ht="18" customHeight="1" x14ac:dyDescent="0.5">
      <c r="A45" s="130" t="s">
        <v>104</v>
      </c>
      <c r="B45" s="56" t="s">
        <v>169</v>
      </c>
      <c r="U45" s="188" t="s">
        <v>146</v>
      </c>
      <c r="V45" s="189"/>
      <c r="W45" s="190"/>
      <c r="X45" s="188"/>
      <c r="Y45" s="189"/>
      <c r="Z45" s="190"/>
      <c r="AA45" s="121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3"/>
    </row>
    <row r="46" spans="1:39" ht="18" customHeight="1" x14ac:dyDescent="0.5">
      <c r="A46" s="118"/>
      <c r="B46" s="117" t="s">
        <v>170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91"/>
      <c r="V46" s="192"/>
      <c r="W46" s="193"/>
      <c r="X46" s="191"/>
      <c r="Y46" s="192"/>
      <c r="Z46" s="193"/>
      <c r="AA46" s="118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9"/>
    </row>
    <row r="47" spans="1:39" ht="18" customHeight="1" x14ac:dyDescent="0.5">
      <c r="A47" s="142" t="s">
        <v>297</v>
      </c>
      <c r="U47" s="188"/>
      <c r="V47" s="189"/>
      <c r="W47" s="190"/>
      <c r="X47" s="188"/>
      <c r="Y47" s="189"/>
      <c r="Z47" s="190"/>
      <c r="AA47" s="125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6"/>
    </row>
    <row r="48" spans="1:39" ht="18" customHeight="1" x14ac:dyDescent="0.5">
      <c r="A48" s="120" t="s">
        <v>171</v>
      </c>
      <c r="U48" s="188"/>
      <c r="V48" s="189"/>
      <c r="W48" s="190"/>
      <c r="X48" s="188"/>
      <c r="Y48" s="189"/>
      <c r="Z48" s="190"/>
      <c r="AA48" s="121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3"/>
    </row>
    <row r="49" spans="1:39" ht="18" customHeight="1" x14ac:dyDescent="0.5">
      <c r="A49" s="130" t="s">
        <v>104</v>
      </c>
      <c r="B49" s="56" t="s">
        <v>172</v>
      </c>
      <c r="U49" s="188" t="s">
        <v>150</v>
      </c>
      <c r="V49" s="189"/>
      <c r="W49" s="190"/>
      <c r="X49" s="188"/>
      <c r="Y49" s="189"/>
      <c r="Z49" s="190"/>
      <c r="AA49" s="121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3"/>
    </row>
    <row r="50" spans="1:39" ht="18" customHeight="1" x14ac:dyDescent="0.5">
      <c r="A50" s="130" t="s">
        <v>104</v>
      </c>
      <c r="B50" s="56" t="s">
        <v>173</v>
      </c>
      <c r="U50" s="188" t="s">
        <v>153</v>
      </c>
      <c r="V50" s="189"/>
      <c r="W50" s="190"/>
      <c r="X50" s="188"/>
      <c r="Y50" s="189"/>
      <c r="Z50" s="190"/>
      <c r="AA50" s="121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3"/>
    </row>
    <row r="51" spans="1:39" ht="18" customHeight="1" x14ac:dyDescent="0.5">
      <c r="A51" s="130" t="s">
        <v>104</v>
      </c>
      <c r="B51" s="56" t="s">
        <v>174</v>
      </c>
      <c r="U51" s="188" t="s">
        <v>155</v>
      </c>
      <c r="V51" s="189"/>
      <c r="W51" s="190"/>
      <c r="X51" s="188"/>
      <c r="Y51" s="189"/>
      <c r="Z51" s="190"/>
      <c r="AA51" s="121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3"/>
    </row>
    <row r="52" spans="1:39" ht="18" customHeight="1" x14ac:dyDescent="0.5">
      <c r="A52" s="137" t="s">
        <v>104</v>
      </c>
      <c r="B52" s="117" t="s">
        <v>175</v>
      </c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91" t="s">
        <v>146</v>
      </c>
      <c r="V52" s="192"/>
      <c r="W52" s="193"/>
      <c r="X52" s="191"/>
      <c r="Y52" s="192"/>
      <c r="Z52" s="193"/>
      <c r="AA52" s="118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9"/>
    </row>
    <row r="53" spans="1:39" ht="18" customHeight="1" x14ac:dyDescent="0.5">
      <c r="A53" s="142" t="s">
        <v>298</v>
      </c>
      <c r="U53" s="188"/>
      <c r="V53" s="189"/>
      <c r="W53" s="190"/>
      <c r="X53" s="188"/>
      <c r="Y53" s="189"/>
      <c r="Z53" s="190"/>
      <c r="AM53" s="77"/>
    </row>
    <row r="54" spans="1:39" ht="18" customHeight="1" x14ac:dyDescent="0.5">
      <c r="A54" s="120" t="s">
        <v>176</v>
      </c>
      <c r="U54" s="188"/>
      <c r="V54" s="189"/>
      <c r="W54" s="190"/>
      <c r="X54" s="188"/>
      <c r="Y54" s="189"/>
      <c r="Z54" s="190"/>
      <c r="AA54" s="121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3"/>
    </row>
    <row r="55" spans="1:39" ht="18" customHeight="1" x14ac:dyDescent="0.5">
      <c r="A55" s="130" t="s">
        <v>104</v>
      </c>
      <c r="B55" s="56" t="s">
        <v>177</v>
      </c>
      <c r="U55" s="188" t="s">
        <v>128</v>
      </c>
      <c r="V55" s="189"/>
      <c r="W55" s="190"/>
      <c r="X55" s="188"/>
      <c r="Y55" s="189"/>
      <c r="Z55" s="190"/>
      <c r="AA55" s="121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3"/>
    </row>
    <row r="56" spans="1:39" ht="18" customHeight="1" x14ac:dyDescent="0.5">
      <c r="A56" s="120"/>
      <c r="B56" s="56" t="s">
        <v>178</v>
      </c>
      <c r="U56" s="188"/>
      <c r="V56" s="189"/>
      <c r="W56" s="190"/>
      <c r="X56" s="188"/>
      <c r="Y56" s="189"/>
      <c r="Z56" s="190"/>
      <c r="AA56" s="121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3"/>
    </row>
    <row r="57" spans="1:39" ht="18" customHeight="1" x14ac:dyDescent="0.5">
      <c r="A57" s="130" t="s">
        <v>104</v>
      </c>
      <c r="B57" s="56" t="s">
        <v>179</v>
      </c>
      <c r="U57" s="188" t="s">
        <v>131</v>
      </c>
      <c r="V57" s="189"/>
      <c r="W57" s="190"/>
      <c r="X57" s="188"/>
      <c r="Y57" s="189"/>
      <c r="Z57" s="190"/>
      <c r="AA57" s="121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3"/>
    </row>
    <row r="58" spans="1:39" ht="18" customHeight="1" x14ac:dyDescent="0.5">
      <c r="A58" s="130" t="s">
        <v>104</v>
      </c>
      <c r="B58" s="56" t="s">
        <v>180</v>
      </c>
      <c r="U58" s="188" t="s">
        <v>134</v>
      </c>
      <c r="V58" s="189"/>
      <c r="W58" s="190"/>
      <c r="X58" s="188"/>
      <c r="Y58" s="189"/>
      <c r="Z58" s="190"/>
      <c r="AA58" s="121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3"/>
    </row>
    <row r="59" spans="1:39" ht="18" customHeight="1" x14ac:dyDescent="0.5">
      <c r="A59" s="120"/>
      <c r="B59" s="56" t="s">
        <v>181</v>
      </c>
      <c r="U59" s="188"/>
      <c r="V59" s="189"/>
      <c r="W59" s="190"/>
      <c r="X59" s="188"/>
      <c r="Y59" s="189"/>
      <c r="Z59" s="190"/>
      <c r="AA59" s="121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3"/>
    </row>
    <row r="60" spans="1:39" ht="18" customHeight="1" x14ac:dyDescent="0.5">
      <c r="A60" s="137" t="s">
        <v>104</v>
      </c>
      <c r="B60" s="117" t="s">
        <v>182</v>
      </c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91" t="s">
        <v>146</v>
      </c>
      <c r="V60" s="192"/>
      <c r="W60" s="193"/>
      <c r="X60" s="191"/>
      <c r="Y60" s="192"/>
      <c r="Z60" s="193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9"/>
    </row>
    <row r="61" spans="1:39" ht="18" customHeight="1" x14ac:dyDescent="0.5">
      <c r="A61" s="142" t="s">
        <v>299</v>
      </c>
      <c r="U61" s="120"/>
      <c r="W61" s="77"/>
      <c r="X61" s="120"/>
      <c r="Z61" s="77"/>
      <c r="AA61" s="125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6"/>
    </row>
    <row r="62" spans="1:39" ht="18" customHeight="1" x14ac:dyDescent="0.5">
      <c r="A62" s="120" t="s">
        <v>183</v>
      </c>
      <c r="U62" s="188"/>
      <c r="V62" s="189"/>
      <c r="W62" s="190"/>
      <c r="X62" s="188"/>
      <c r="Y62" s="189"/>
      <c r="Z62" s="190"/>
      <c r="AA62" s="121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3"/>
    </row>
    <row r="63" spans="1:39" ht="18" customHeight="1" x14ac:dyDescent="0.5">
      <c r="A63" s="130" t="s">
        <v>104</v>
      </c>
      <c r="B63" s="56" t="s">
        <v>184</v>
      </c>
      <c r="U63" s="188" t="s">
        <v>128</v>
      </c>
      <c r="V63" s="189"/>
      <c r="W63" s="190"/>
      <c r="X63" s="188"/>
      <c r="Y63" s="189"/>
      <c r="Z63" s="190"/>
      <c r="AA63" s="121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3"/>
    </row>
    <row r="64" spans="1:39" ht="18" customHeight="1" x14ac:dyDescent="0.5">
      <c r="A64" s="130" t="s">
        <v>104</v>
      </c>
      <c r="B64" s="56" t="s">
        <v>185</v>
      </c>
      <c r="U64" s="188" t="s">
        <v>131</v>
      </c>
      <c r="V64" s="189"/>
      <c r="W64" s="190"/>
      <c r="X64" s="188"/>
      <c r="Y64" s="189"/>
      <c r="Z64" s="190"/>
      <c r="AA64" s="121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3"/>
    </row>
    <row r="65" spans="1:39" ht="18" customHeight="1" x14ac:dyDescent="0.5">
      <c r="A65" s="130" t="s">
        <v>104</v>
      </c>
      <c r="B65" s="56" t="s">
        <v>186</v>
      </c>
      <c r="U65" s="188" t="s">
        <v>134</v>
      </c>
      <c r="V65" s="189"/>
      <c r="W65" s="190"/>
      <c r="X65" s="188"/>
      <c r="Y65" s="189"/>
      <c r="Z65" s="190"/>
      <c r="AA65" s="121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3"/>
    </row>
    <row r="66" spans="1:39" ht="18" customHeight="1" x14ac:dyDescent="0.5">
      <c r="A66" s="137" t="s">
        <v>104</v>
      </c>
      <c r="B66" s="117" t="s">
        <v>187</v>
      </c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91" t="s">
        <v>146</v>
      </c>
      <c r="V66" s="192"/>
      <c r="W66" s="193"/>
      <c r="X66" s="191"/>
      <c r="Y66" s="192"/>
      <c r="Z66" s="193"/>
      <c r="AA66" s="118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9"/>
    </row>
    <row r="67" spans="1:39" ht="18" customHeight="1" x14ac:dyDescent="0.5">
      <c r="X67" s="129"/>
      <c r="Y67" s="129"/>
      <c r="Z67" s="129"/>
    </row>
    <row r="68" spans="1:39" ht="21.95" customHeight="1" x14ac:dyDescent="0.5">
      <c r="A68" s="196" t="s">
        <v>188</v>
      </c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8"/>
    </row>
    <row r="69" spans="1:39" ht="12" customHeight="1" x14ac:dyDescent="0.5">
      <c r="A69" s="125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6"/>
      <c r="U69" s="194"/>
      <c r="V69" s="195"/>
      <c r="W69" s="195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6"/>
    </row>
    <row r="70" spans="1:39" ht="21.75" customHeight="1" x14ac:dyDescent="0.5">
      <c r="A70" s="120"/>
      <c r="B70" s="56" t="s">
        <v>189</v>
      </c>
      <c r="T70" s="77"/>
      <c r="U70" s="188" t="s">
        <v>190</v>
      </c>
      <c r="V70" s="189"/>
      <c r="W70" s="189"/>
      <c r="X70" s="127"/>
      <c r="Y70" s="127"/>
      <c r="Z70" s="127"/>
      <c r="AA70" s="56" t="s">
        <v>191</v>
      </c>
      <c r="AC70" s="56" t="s">
        <v>192</v>
      </c>
      <c r="AE70" s="127"/>
      <c r="AF70" s="127"/>
      <c r="AG70" s="56" t="s">
        <v>193</v>
      </c>
      <c r="AM70" s="77"/>
    </row>
    <row r="71" spans="1:39" ht="12" customHeight="1" x14ac:dyDescent="0.5">
      <c r="A71" s="120"/>
      <c r="T71" s="77"/>
      <c r="U71" s="118"/>
      <c r="V71" s="117"/>
      <c r="W71" s="117"/>
      <c r="X71" s="117"/>
      <c r="Y71" s="128"/>
      <c r="Z71" s="128"/>
      <c r="AA71" s="128"/>
      <c r="AB71" s="117"/>
      <c r="AC71" s="128"/>
      <c r="AD71" s="128"/>
      <c r="AE71" s="117"/>
      <c r="AF71" s="117"/>
      <c r="AG71" s="117"/>
      <c r="AH71" s="117"/>
      <c r="AI71" s="117"/>
      <c r="AJ71" s="117"/>
      <c r="AK71" s="117"/>
      <c r="AL71" s="117"/>
      <c r="AM71" s="119"/>
    </row>
    <row r="72" spans="1:39" ht="21.75" customHeight="1" x14ac:dyDescent="0.5">
      <c r="A72" s="120"/>
      <c r="B72" s="56" t="s">
        <v>194</v>
      </c>
      <c r="F72" s="127"/>
      <c r="G72" s="127"/>
      <c r="H72" s="127"/>
      <c r="I72" s="127"/>
      <c r="J72" s="127"/>
      <c r="K72" s="127"/>
      <c r="M72" s="127"/>
      <c r="N72" s="129" t="s">
        <v>195</v>
      </c>
      <c r="O72" s="127"/>
      <c r="P72" s="127"/>
      <c r="Q72" s="129" t="s">
        <v>195</v>
      </c>
      <c r="R72" s="127"/>
      <c r="S72" s="127"/>
      <c r="T72" s="77"/>
      <c r="U72" s="196" t="s">
        <v>196</v>
      </c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8"/>
    </row>
    <row r="73" spans="1:39" ht="21.75" customHeight="1" x14ac:dyDescent="0.5">
      <c r="A73" s="120"/>
      <c r="B73" s="56" t="s">
        <v>197</v>
      </c>
      <c r="F73" s="127"/>
      <c r="G73" s="127"/>
      <c r="H73" s="127"/>
      <c r="I73" s="127"/>
      <c r="J73" s="127"/>
      <c r="K73" s="127"/>
      <c r="M73" s="127"/>
      <c r="N73" s="129" t="s">
        <v>195</v>
      </c>
      <c r="O73" s="127"/>
      <c r="P73" s="127"/>
      <c r="Q73" s="129" t="s">
        <v>195</v>
      </c>
      <c r="R73" s="127"/>
      <c r="S73" s="127"/>
      <c r="T73" s="77"/>
      <c r="U73" s="130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31"/>
    </row>
    <row r="74" spans="1:39" ht="21.75" customHeight="1" x14ac:dyDescent="0.5">
      <c r="A74" s="120"/>
      <c r="B74" s="56" t="s">
        <v>198</v>
      </c>
      <c r="F74" s="127"/>
      <c r="G74" s="127"/>
      <c r="H74" s="127"/>
      <c r="I74" s="127"/>
      <c r="J74" s="127"/>
      <c r="K74" s="127"/>
      <c r="M74" s="127"/>
      <c r="N74" s="129" t="s">
        <v>195</v>
      </c>
      <c r="O74" s="127"/>
      <c r="P74" s="127"/>
      <c r="Q74" s="129" t="s">
        <v>195</v>
      </c>
      <c r="R74" s="127"/>
      <c r="S74" s="127"/>
      <c r="T74" s="77"/>
      <c r="U74" s="120"/>
      <c r="AC74" s="56" t="s">
        <v>199</v>
      </c>
      <c r="AF74" s="56" t="s">
        <v>200</v>
      </c>
      <c r="AM74" s="77"/>
    </row>
    <row r="75" spans="1:39" ht="12" customHeight="1" x14ac:dyDescent="0.5">
      <c r="A75" s="118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9"/>
      <c r="U75" s="118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9"/>
    </row>
    <row r="76" spans="1:39" ht="12" customHeight="1" x14ac:dyDescent="0.5"/>
    <row r="77" spans="1:39" ht="23.1" customHeight="1" x14ac:dyDescent="0.5">
      <c r="B77" s="55" t="s">
        <v>201</v>
      </c>
      <c r="G77" s="56" t="s">
        <v>202</v>
      </c>
    </row>
    <row r="78" spans="1:39" ht="23.1" customHeight="1" x14ac:dyDescent="0.5">
      <c r="G78" s="56" t="s">
        <v>203</v>
      </c>
    </row>
    <row r="79" spans="1:39" ht="18" customHeight="1" x14ac:dyDescent="0.5"/>
    <row r="80" spans="1:39" ht="18" customHeight="1" x14ac:dyDescent="0.5"/>
    <row r="81" ht="18" customHeight="1" x14ac:dyDescent="0.5"/>
    <row r="82" ht="18" customHeight="1" x14ac:dyDescent="0.5"/>
    <row r="83" ht="18" customHeight="1" x14ac:dyDescent="0.5"/>
    <row r="84" ht="18" customHeight="1" x14ac:dyDescent="0.5"/>
  </sheetData>
  <mergeCells count="128">
    <mergeCell ref="U72:AM72"/>
    <mergeCell ref="U19:W19"/>
    <mergeCell ref="X19:Z19"/>
    <mergeCell ref="U22:W22"/>
    <mergeCell ref="X22:Z22"/>
    <mergeCell ref="U20:W20"/>
    <mergeCell ref="X20:Z20"/>
    <mergeCell ref="U21:W21"/>
    <mergeCell ref="X21:Z21"/>
    <mergeCell ref="X66:Z66"/>
    <mergeCell ref="U59:W59"/>
    <mergeCell ref="U63:W63"/>
    <mergeCell ref="X63:Z63"/>
    <mergeCell ref="X59:Z59"/>
    <mergeCell ref="U60:W60"/>
    <mergeCell ref="X60:Z60"/>
    <mergeCell ref="X58:Z58"/>
    <mergeCell ref="U54:W54"/>
    <mergeCell ref="X54:Z54"/>
    <mergeCell ref="U52:W52"/>
    <mergeCell ref="U57:W57"/>
    <mergeCell ref="X57:Z57"/>
    <mergeCell ref="U58:W58"/>
    <mergeCell ref="U48:W48"/>
    <mergeCell ref="U53:W53"/>
    <mergeCell ref="U56:W56"/>
    <mergeCell ref="X56:Z56"/>
    <mergeCell ref="U55:W55"/>
    <mergeCell ref="X55:Z55"/>
    <mergeCell ref="X53:Z53"/>
    <mergeCell ref="U50:W50"/>
    <mergeCell ref="X50:Z50"/>
    <mergeCell ref="U51:W51"/>
    <mergeCell ref="X51:Z51"/>
    <mergeCell ref="X52:Z52"/>
    <mergeCell ref="X45:Z45"/>
    <mergeCell ref="U46:W46"/>
    <mergeCell ref="X46:Z46"/>
    <mergeCell ref="U45:W45"/>
    <mergeCell ref="U43:W43"/>
    <mergeCell ref="U44:W44"/>
    <mergeCell ref="U41:W41"/>
    <mergeCell ref="U42:W42"/>
    <mergeCell ref="X41:Z41"/>
    <mergeCell ref="X42:Z42"/>
    <mergeCell ref="U35:W35"/>
    <mergeCell ref="X35:Z35"/>
    <mergeCell ref="U33:W33"/>
    <mergeCell ref="U36:W36"/>
    <mergeCell ref="X36:Z36"/>
    <mergeCell ref="U34:W34"/>
    <mergeCell ref="X34:Z34"/>
    <mergeCell ref="X33:Z33"/>
    <mergeCell ref="U40:W40"/>
    <mergeCell ref="X40:Z40"/>
    <mergeCell ref="A24:T24"/>
    <mergeCell ref="U47:W47"/>
    <mergeCell ref="X5:Z5"/>
    <mergeCell ref="U7:W7"/>
    <mergeCell ref="X11:Z11"/>
    <mergeCell ref="X10:Z10"/>
    <mergeCell ref="U11:W11"/>
    <mergeCell ref="U12:W12"/>
    <mergeCell ref="X12:Z12"/>
    <mergeCell ref="X27:Z27"/>
    <mergeCell ref="X29:Z29"/>
    <mergeCell ref="U32:W32"/>
    <mergeCell ref="X30:Z30"/>
    <mergeCell ref="X31:Z31"/>
    <mergeCell ref="X32:Z32"/>
    <mergeCell ref="U30:W30"/>
    <mergeCell ref="U31:W31"/>
    <mergeCell ref="U28:W28"/>
    <mergeCell ref="X28:Z28"/>
    <mergeCell ref="U29:W29"/>
    <mergeCell ref="U37:W37"/>
    <mergeCell ref="X37:Z37"/>
    <mergeCell ref="X38:Z38"/>
    <mergeCell ref="U39:W39"/>
    <mergeCell ref="A1:AM1"/>
    <mergeCell ref="U9:W9"/>
    <mergeCell ref="X9:Z9"/>
    <mergeCell ref="U6:W6"/>
    <mergeCell ref="X8:Z8"/>
    <mergeCell ref="U5:W5"/>
    <mergeCell ref="X6:Z6"/>
    <mergeCell ref="X7:Z7"/>
    <mergeCell ref="A3:T3"/>
    <mergeCell ref="AA3:AM3"/>
    <mergeCell ref="X3:Z3"/>
    <mergeCell ref="U3:W3"/>
    <mergeCell ref="A4:T4"/>
    <mergeCell ref="U4:W4"/>
    <mergeCell ref="X4:Z4"/>
    <mergeCell ref="U69:W69"/>
    <mergeCell ref="U70:W70"/>
    <mergeCell ref="U62:W62"/>
    <mergeCell ref="U64:W64"/>
    <mergeCell ref="A68:AM68"/>
    <mergeCell ref="X62:Z62"/>
    <mergeCell ref="X64:Z64"/>
    <mergeCell ref="U65:W65"/>
    <mergeCell ref="X65:Z65"/>
    <mergeCell ref="U66:W66"/>
    <mergeCell ref="U16:W16"/>
    <mergeCell ref="X13:Z13"/>
    <mergeCell ref="U49:W49"/>
    <mergeCell ref="X49:Z49"/>
    <mergeCell ref="X43:Z43"/>
    <mergeCell ref="X44:Z44"/>
    <mergeCell ref="X48:Z48"/>
    <mergeCell ref="X47:Z47"/>
    <mergeCell ref="U13:W13"/>
    <mergeCell ref="X18:Z18"/>
    <mergeCell ref="U27:W27"/>
    <mergeCell ref="U25:W25"/>
    <mergeCell ref="X25:Z25"/>
    <mergeCell ref="U26:W26"/>
    <mergeCell ref="X26:Z26"/>
    <mergeCell ref="U14:W14"/>
    <mergeCell ref="X14:Z14"/>
    <mergeCell ref="X23:Z23"/>
    <mergeCell ref="X16:Z16"/>
    <mergeCell ref="U17:W17"/>
    <mergeCell ref="X17:Z17"/>
    <mergeCell ref="U18:W18"/>
    <mergeCell ref="X39:Z39"/>
    <mergeCell ref="U38:W38"/>
  </mergeCells>
  <pageMargins left="0.15748031496062992" right="0.11811023622047245" top="0.55118110236220474" bottom="0.31496062992125984" header="0.31496062992125984" footer="0.15748031496062992"/>
  <pageSetup paperSize="9" scale="98" firstPageNumber="3" orientation="landscape" useFirstPageNumber="1" r:id="rId1"/>
  <headerFooter alignWithMargins="0">
    <oddHeader>&amp;R&amp;"TH SarabunPSK,Regular"พนักงานระดับปฏิบัติการ</oddHeader>
  </headerFooter>
  <rowBreaks count="1" manualBreakCount="1">
    <brk id="52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0"/>
  <sheetViews>
    <sheetView workbookViewId="0">
      <selection activeCell="H14" sqref="H14"/>
    </sheetView>
  </sheetViews>
  <sheetFormatPr defaultColWidth="9" defaultRowHeight="18.75" x14ac:dyDescent="0.3"/>
  <cols>
    <col min="1" max="1" width="4.140625" style="58" customWidth="1"/>
    <col min="2" max="15" width="9" style="58"/>
    <col min="16" max="16" width="15.42578125" style="58" customWidth="1"/>
    <col min="17" max="16384" width="9" style="58"/>
  </cols>
  <sheetData>
    <row r="1" spans="1:20" x14ac:dyDescent="0.3">
      <c r="A1" s="206" t="s">
        <v>209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8"/>
    </row>
    <row r="3" spans="1:20" x14ac:dyDescent="0.3">
      <c r="A3" s="125" t="s">
        <v>47</v>
      </c>
      <c r="B3" s="124" t="s">
        <v>210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6"/>
      <c r="Q3" s="56"/>
      <c r="R3" s="56"/>
      <c r="S3" s="56"/>
      <c r="T3" s="56"/>
    </row>
    <row r="4" spans="1:20" x14ac:dyDescent="0.3">
      <c r="A4" s="120"/>
      <c r="B4" s="56" t="s">
        <v>211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77"/>
      <c r="Q4" s="56"/>
      <c r="R4" s="56"/>
      <c r="S4" s="56"/>
      <c r="T4" s="56"/>
    </row>
    <row r="5" spans="1:20" x14ac:dyDescent="0.3">
      <c r="A5" s="120"/>
      <c r="B5" s="56" t="s">
        <v>204</v>
      </c>
      <c r="C5" s="122" t="s">
        <v>212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77"/>
      <c r="Q5" s="56"/>
      <c r="R5" s="56"/>
      <c r="S5" s="56"/>
      <c r="T5" s="56"/>
    </row>
    <row r="6" spans="1:20" x14ac:dyDescent="0.3">
      <c r="A6" s="120"/>
      <c r="B6" s="56" t="s">
        <v>205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3"/>
      <c r="Q6" s="122"/>
      <c r="R6" s="122"/>
      <c r="S6" s="122"/>
      <c r="T6" s="56"/>
    </row>
    <row r="7" spans="1:20" x14ac:dyDescent="0.3">
      <c r="A7" s="120"/>
      <c r="B7" s="56" t="s">
        <v>206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2"/>
      <c r="R7" s="122"/>
      <c r="S7" s="122"/>
      <c r="T7" s="56"/>
    </row>
    <row r="8" spans="1:20" x14ac:dyDescent="0.3">
      <c r="A8" s="120"/>
      <c r="B8" s="56" t="s">
        <v>207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3"/>
      <c r="Q8" s="122"/>
      <c r="R8" s="122"/>
      <c r="S8" s="122"/>
      <c r="T8" s="56"/>
    </row>
    <row r="9" spans="1:20" x14ac:dyDescent="0.3">
      <c r="A9" s="120"/>
      <c r="B9" s="56" t="s">
        <v>208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3"/>
      <c r="Q9" s="122"/>
      <c r="R9" s="122"/>
      <c r="S9" s="122"/>
      <c r="T9" s="56"/>
    </row>
    <row r="10" spans="1:20" x14ac:dyDescent="0.3">
      <c r="A10" s="143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5"/>
    </row>
  </sheetData>
  <mergeCells count="1">
    <mergeCell ref="A1:P1"/>
  </mergeCells>
  <pageMargins left="0.70866141732283472" right="0.49" top="0.75" bottom="0.74803149606299213" header="0.41" footer="0.31496062992125984"/>
  <pageSetup paperSize="9" orientation="landscape" r:id="rId1"/>
  <headerFooter>
    <oddHeader>&amp;R&amp;"TH SarabunPSK,Regular"&amp;12พนักงานระดับปฏิบัติการ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AN28"/>
  <sheetViews>
    <sheetView showGridLines="0" zoomScale="85" zoomScaleNormal="85" zoomScaleSheetLayoutView="120" workbookViewId="0">
      <selection activeCell="Z31" sqref="Z31"/>
    </sheetView>
  </sheetViews>
  <sheetFormatPr defaultColWidth="3.85546875" defaultRowHeight="18.75" x14ac:dyDescent="0.5"/>
  <cols>
    <col min="1" max="25" width="3.85546875" style="56"/>
    <col min="26" max="26" width="5.28515625" style="56" customWidth="1"/>
    <col min="27" max="27" width="2.140625" style="56" customWidth="1"/>
    <col min="28" max="37" width="3.85546875" style="56"/>
    <col min="38" max="38" width="10.85546875" style="56" customWidth="1"/>
    <col min="39" max="39" width="2.42578125" style="56" customWidth="1"/>
    <col min="40" max="16384" width="3.85546875" style="56"/>
  </cols>
  <sheetData>
    <row r="1" spans="2:40" ht="19.5" thickBot="1" x14ac:dyDescent="0.55000000000000004">
      <c r="B1" s="199" t="s">
        <v>213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1"/>
    </row>
    <row r="2" spans="2:40" ht="9" customHeight="1" x14ac:dyDescent="0.5"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46"/>
    </row>
    <row r="3" spans="2:40" x14ac:dyDescent="0.5">
      <c r="B3" s="210" t="s">
        <v>214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2"/>
      <c r="AA3" s="147"/>
      <c r="AB3" s="196" t="s">
        <v>215</v>
      </c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8"/>
    </row>
    <row r="4" spans="2:40" x14ac:dyDescent="0.5">
      <c r="B4" s="120"/>
      <c r="C4" s="56" t="s">
        <v>216</v>
      </c>
      <c r="F4" s="56" t="s">
        <v>217</v>
      </c>
      <c r="Q4" s="56" t="s">
        <v>218</v>
      </c>
      <c r="W4" s="56" t="s">
        <v>219</v>
      </c>
      <c r="Y4" s="56" t="s">
        <v>220</v>
      </c>
      <c r="Z4" s="77"/>
      <c r="AB4" s="120"/>
      <c r="AN4" s="77"/>
    </row>
    <row r="5" spans="2:40" x14ac:dyDescent="0.5">
      <c r="B5" s="120"/>
      <c r="C5" s="56" t="s">
        <v>221</v>
      </c>
      <c r="F5" s="56" t="s">
        <v>222</v>
      </c>
      <c r="O5" s="122"/>
      <c r="P5" s="122"/>
      <c r="Q5" s="56" t="s">
        <v>218</v>
      </c>
      <c r="U5" s="122"/>
      <c r="V5" s="122"/>
      <c r="W5" s="56" t="s">
        <v>219</v>
      </c>
      <c r="Y5" s="56" t="s">
        <v>223</v>
      </c>
      <c r="Z5" s="77"/>
      <c r="AB5" s="120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77"/>
    </row>
    <row r="6" spans="2:40" x14ac:dyDescent="0.5">
      <c r="B6" s="120"/>
      <c r="F6" s="56" t="s">
        <v>224</v>
      </c>
      <c r="P6" s="148"/>
      <c r="S6" s="149"/>
      <c r="Z6" s="77"/>
      <c r="AB6" s="120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77"/>
    </row>
    <row r="7" spans="2:40" x14ac:dyDescent="0.5">
      <c r="B7" s="120"/>
      <c r="C7" s="56" t="s">
        <v>26</v>
      </c>
      <c r="U7" s="127"/>
      <c r="V7" s="127"/>
      <c r="W7" s="56" t="s">
        <v>219</v>
      </c>
      <c r="Y7" s="56" t="s">
        <v>225</v>
      </c>
      <c r="Z7" s="77"/>
      <c r="AB7" s="120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77"/>
    </row>
    <row r="8" spans="2:40" x14ac:dyDescent="0.5">
      <c r="B8" s="120"/>
      <c r="C8" s="56" t="s">
        <v>226</v>
      </c>
      <c r="Z8" s="77"/>
      <c r="AB8" s="120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77"/>
    </row>
    <row r="9" spans="2:40" x14ac:dyDescent="0.5">
      <c r="B9" s="120"/>
      <c r="C9" s="56" t="s">
        <v>227</v>
      </c>
      <c r="Z9" s="77"/>
      <c r="AB9" s="120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77"/>
    </row>
    <row r="10" spans="2:40" x14ac:dyDescent="0.5">
      <c r="B10" s="120"/>
      <c r="C10" s="55" t="s">
        <v>228</v>
      </c>
      <c r="Z10" s="77"/>
      <c r="AB10" s="120"/>
      <c r="AC10" s="56" t="s">
        <v>229</v>
      </c>
      <c r="AE10" s="122"/>
      <c r="AF10" s="122"/>
      <c r="AG10" s="122"/>
      <c r="AH10" s="122"/>
      <c r="AI10" s="122"/>
      <c r="AJ10" s="122"/>
      <c r="AK10" s="122"/>
      <c r="AL10" s="122"/>
      <c r="AN10" s="77"/>
    </row>
    <row r="11" spans="2:40" x14ac:dyDescent="0.3">
      <c r="B11" s="120"/>
      <c r="D11" s="56" t="s">
        <v>230</v>
      </c>
      <c r="H11" s="56" t="s">
        <v>231</v>
      </c>
      <c r="T11" s="56" t="s">
        <v>232</v>
      </c>
      <c r="Z11" s="77"/>
      <c r="AB11" s="120"/>
      <c r="AD11" s="94" t="s">
        <v>233</v>
      </c>
      <c r="AE11" s="214" t="s">
        <v>234</v>
      </c>
      <c r="AF11" s="214"/>
      <c r="AG11" s="214"/>
      <c r="AH11" s="214"/>
      <c r="AI11" s="214"/>
      <c r="AJ11" s="214"/>
      <c r="AK11" s="214"/>
      <c r="AL11" s="214"/>
      <c r="AM11" s="56" t="s">
        <v>73</v>
      </c>
      <c r="AN11" s="77"/>
    </row>
    <row r="12" spans="2:40" x14ac:dyDescent="0.3">
      <c r="B12" s="120"/>
      <c r="H12" s="56" t="s">
        <v>235</v>
      </c>
      <c r="L12" s="127"/>
      <c r="M12" s="127"/>
      <c r="N12" s="127"/>
      <c r="O12" s="150"/>
      <c r="Z12" s="77"/>
      <c r="AB12" s="120"/>
      <c r="AC12" s="56" t="s">
        <v>50</v>
      </c>
      <c r="AE12" s="151" t="s">
        <v>234</v>
      </c>
      <c r="AF12" s="151"/>
      <c r="AG12" s="127"/>
      <c r="AH12" s="127"/>
      <c r="AI12" s="127"/>
      <c r="AJ12" s="127"/>
      <c r="AK12" s="127"/>
      <c r="AL12" s="127"/>
      <c r="AN12" s="77"/>
    </row>
    <row r="13" spans="2:40" x14ac:dyDescent="0.5">
      <c r="B13" s="120"/>
      <c r="H13" s="56" t="s">
        <v>236</v>
      </c>
      <c r="N13" s="127"/>
      <c r="O13" s="127"/>
      <c r="P13" s="56" t="s">
        <v>237</v>
      </c>
      <c r="T13" s="56" t="s">
        <v>238</v>
      </c>
      <c r="Z13" s="77"/>
      <c r="AB13" s="120"/>
      <c r="AC13" s="56" t="s">
        <v>239</v>
      </c>
      <c r="AE13" s="127"/>
      <c r="AF13" s="127"/>
      <c r="AG13" s="127"/>
      <c r="AH13" s="127"/>
      <c r="AI13" s="127"/>
      <c r="AJ13" s="127"/>
      <c r="AK13" s="127"/>
      <c r="AL13" s="127"/>
      <c r="AN13" s="77"/>
    </row>
    <row r="14" spans="2:40" ht="12" customHeight="1" x14ac:dyDescent="0.5">
      <c r="B14" s="118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9"/>
      <c r="AB14" s="118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9"/>
    </row>
    <row r="15" spans="2:40" ht="5.0999999999999996" customHeight="1" x14ac:dyDescent="0.5"/>
    <row r="16" spans="2:40" x14ac:dyDescent="0.5">
      <c r="B16" s="194" t="s">
        <v>240</v>
      </c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205"/>
      <c r="O16" s="213" t="s">
        <v>241</v>
      </c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205"/>
      <c r="AB16" s="194" t="s">
        <v>242</v>
      </c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205"/>
    </row>
    <row r="17" spans="2:40" x14ac:dyDescent="0.5">
      <c r="B17" s="191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3"/>
      <c r="O17" s="191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3"/>
      <c r="AB17" s="191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3"/>
    </row>
    <row r="18" spans="2:40" ht="12" customHeight="1" x14ac:dyDescent="0.5">
      <c r="B18" s="120"/>
      <c r="N18" s="77"/>
      <c r="O18" s="120"/>
      <c r="AA18" s="77"/>
      <c r="AB18" s="120"/>
      <c r="AN18" s="77"/>
    </row>
    <row r="19" spans="2:40" x14ac:dyDescent="0.5">
      <c r="B19" s="120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77"/>
      <c r="O19" s="120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77"/>
      <c r="AB19" s="120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77"/>
    </row>
    <row r="20" spans="2:40" x14ac:dyDescent="0.5">
      <c r="B20" s="120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77"/>
      <c r="O20" s="120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77"/>
      <c r="AB20" s="120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77"/>
    </row>
    <row r="21" spans="2:40" x14ac:dyDescent="0.5">
      <c r="B21" s="120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77"/>
      <c r="O21" s="120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77"/>
      <c r="AB21" s="120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77"/>
    </row>
    <row r="22" spans="2:40" x14ac:dyDescent="0.5">
      <c r="B22" s="120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77"/>
      <c r="O22" s="120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77"/>
      <c r="AB22" s="120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77"/>
    </row>
    <row r="23" spans="2:40" x14ac:dyDescent="0.5">
      <c r="B23" s="120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77"/>
      <c r="O23" s="120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77"/>
      <c r="AB23" s="120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77"/>
    </row>
    <row r="24" spans="2:40" x14ac:dyDescent="0.5">
      <c r="B24" s="120"/>
      <c r="C24" s="56" t="s">
        <v>229</v>
      </c>
      <c r="N24" s="77"/>
      <c r="O24" s="120"/>
      <c r="P24" s="56" t="s">
        <v>229</v>
      </c>
      <c r="AA24" s="77"/>
      <c r="AB24" s="120"/>
      <c r="AC24" s="56" t="s">
        <v>229</v>
      </c>
      <c r="AN24" s="77"/>
    </row>
    <row r="25" spans="2:40" x14ac:dyDescent="0.5">
      <c r="B25" s="120"/>
      <c r="D25" s="94" t="s">
        <v>233</v>
      </c>
      <c r="E25" s="209" t="s">
        <v>303</v>
      </c>
      <c r="F25" s="209"/>
      <c r="G25" s="209"/>
      <c r="H25" s="209"/>
      <c r="I25" s="209"/>
      <c r="J25" s="209"/>
      <c r="K25" s="209"/>
      <c r="L25" s="209"/>
      <c r="M25" s="56" t="s">
        <v>73</v>
      </c>
      <c r="N25" s="77"/>
      <c r="O25" s="120"/>
      <c r="Q25" s="94" t="s">
        <v>233</v>
      </c>
      <c r="R25" s="209" t="s">
        <v>305</v>
      </c>
      <c r="S25" s="209"/>
      <c r="T25" s="209"/>
      <c r="U25" s="209"/>
      <c r="V25" s="209"/>
      <c r="W25" s="209"/>
      <c r="X25" s="209"/>
      <c r="Y25" s="209"/>
      <c r="Z25" s="56" t="s">
        <v>73</v>
      </c>
      <c r="AA25" s="77"/>
      <c r="AB25" s="120"/>
      <c r="AD25" s="94" t="s">
        <v>233</v>
      </c>
      <c r="AE25" s="209" t="s">
        <v>234</v>
      </c>
      <c r="AF25" s="209"/>
      <c r="AG25" s="209"/>
      <c r="AH25" s="209"/>
      <c r="AI25" s="209"/>
      <c r="AJ25" s="209"/>
      <c r="AK25" s="209"/>
      <c r="AL25" s="209"/>
      <c r="AM25" s="56" t="s">
        <v>73</v>
      </c>
      <c r="AN25" s="77"/>
    </row>
    <row r="26" spans="2:40" x14ac:dyDescent="0.5">
      <c r="B26" s="120"/>
      <c r="C26" s="56" t="s">
        <v>50</v>
      </c>
      <c r="E26" s="122" t="s">
        <v>304</v>
      </c>
      <c r="F26" s="122"/>
      <c r="G26" s="122"/>
      <c r="H26" s="122"/>
      <c r="I26" s="122"/>
      <c r="J26" s="122"/>
      <c r="K26" s="122"/>
      <c r="L26" s="122"/>
      <c r="N26" s="77"/>
      <c r="O26" s="120"/>
      <c r="P26" s="56" t="s">
        <v>50</v>
      </c>
      <c r="R26" s="122" t="s">
        <v>306</v>
      </c>
      <c r="S26" s="122"/>
      <c r="T26" s="122"/>
      <c r="U26" s="122"/>
      <c r="V26" s="122"/>
      <c r="W26" s="122"/>
      <c r="X26" s="122"/>
      <c r="Y26" s="122"/>
      <c r="AA26" s="77"/>
      <c r="AB26" s="120"/>
      <c r="AC26" s="56" t="s">
        <v>50</v>
      </c>
      <c r="AE26" s="122" t="s">
        <v>234</v>
      </c>
      <c r="AF26" s="122"/>
      <c r="AG26" s="122"/>
      <c r="AH26" s="122"/>
      <c r="AI26" s="122"/>
      <c r="AJ26" s="122"/>
      <c r="AK26" s="122"/>
      <c r="AL26" s="122"/>
      <c r="AN26" s="77"/>
    </row>
    <row r="27" spans="2:40" x14ac:dyDescent="0.5">
      <c r="B27" s="120"/>
      <c r="C27" s="56" t="s">
        <v>239</v>
      </c>
      <c r="E27" s="122"/>
      <c r="F27" s="122"/>
      <c r="G27" s="122"/>
      <c r="H27" s="122"/>
      <c r="I27" s="122"/>
      <c r="J27" s="122"/>
      <c r="K27" s="122"/>
      <c r="L27" s="122"/>
      <c r="N27" s="77"/>
      <c r="O27" s="120"/>
      <c r="P27" s="56" t="s">
        <v>239</v>
      </c>
      <c r="R27" s="122"/>
      <c r="S27" s="122"/>
      <c r="T27" s="122"/>
      <c r="U27" s="122"/>
      <c r="V27" s="122"/>
      <c r="W27" s="122"/>
      <c r="X27" s="122"/>
      <c r="Y27" s="122"/>
      <c r="AA27" s="77"/>
      <c r="AB27" s="120"/>
      <c r="AC27" s="56" t="s">
        <v>239</v>
      </c>
      <c r="AE27" s="122"/>
      <c r="AF27" s="122"/>
      <c r="AG27" s="122"/>
      <c r="AH27" s="122"/>
      <c r="AI27" s="122"/>
      <c r="AJ27" s="122"/>
      <c r="AK27" s="122"/>
      <c r="AL27" s="122"/>
      <c r="AN27" s="77"/>
    </row>
    <row r="28" spans="2:40" ht="12" customHeight="1" x14ac:dyDescent="0.5">
      <c r="B28" s="118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9"/>
      <c r="O28" s="118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9"/>
      <c r="AB28" s="118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9"/>
    </row>
  </sheetData>
  <mergeCells count="10">
    <mergeCell ref="E25:L25"/>
    <mergeCell ref="R25:Y25"/>
    <mergeCell ref="AE25:AL25"/>
    <mergeCell ref="B1:AN1"/>
    <mergeCell ref="B3:Z3"/>
    <mergeCell ref="AB3:AN3"/>
    <mergeCell ref="B16:N17"/>
    <mergeCell ref="O16:AA17"/>
    <mergeCell ref="AB16:AN17"/>
    <mergeCell ref="AE11:AL11"/>
  </mergeCells>
  <pageMargins left="0.23" right="0.15748031496062992" top="0.59055118110236227" bottom="0.19685039370078741" header="0.39370078740157483" footer="0.15748031496062992"/>
  <pageSetup paperSize="9" scale="96" firstPageNumber="7" orientation="landscape" useFirstPageNumber="1" r:id="rId1"/>
  <headerFooter alignWithMargins="0">
    <oddHeader>&amp;R&amp;"TH SarabunPSK,Regular"&amp;12พนักงานระดับปฏิบัติการ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23"/>
  <sheetViews>
    <sheetView workbookViewId="0">
      <selection activeCell="D12" sqref="D12:D14"/>
    </sheetView>
  </sheetViews>
  <sheetFormatPr defaultColWidth="9" defaultRowHeight="23.25" x14ac:dyDescent="0.5"/>
  <cols>
    <col min="1" max="1" width="15.28515625" style="152" customWidth="1"/>
    <col min="2" max="3" width="35.42578125" style="158" customWidth="1"/>
    <col min="4" max="4" width="24.42578125" style="158" customWidth="1"/>
    <col min="5" max="16384" width="9" style="152"/>
  </cols>
  <sheetData>
    <row r="1" spans="1:4" x14ac:dyDescent="0.5">
      <c r="A1" s="216" t="s">
        <v>243</v>
      </c>
      <c r="B1" s="216"/>
      <c r="C1" s="216"/>
      <c r="D1" s="216"/>
    </row>
    <row r="2" spans="1:4" x14ac:dyDescent="0.5">
      <c r="A2" s="153" t="s">
        <v>244</v>
      </c>
      <c r="B2" s="153" t="s">
        <v>245</v>
      </c>
      <c r="C2" s="153" t="s">
        <v>246</v>
      </c>
      <c r="D2" s="153" t="s">
        <v>247</v>
      </c>
    </row>
    <row r="3" spans="1:4" x14ac:dyDescent="0.5">
      <c r="A3" s="154" t="s">
        <v>248</v>
      </c>
      <c r="B3" s="215" t="s">
        <v>249</v>
      </c>
      <c r="C3" s="215" t="s">
        <v>250</v>
      </c>
      <c r="D3" s="215" t="s">
        <v>251</v>
      </c>
    </row>
    <row r="4" spans="1:4" x14ac:dyDescent="0.5">
      <c r="A4" s="155" t="s">
        <v>252</v>
      </c>
      <c r="B4" s="215"/>
      <c r="C4" s="215"/>
      <c r="D4" s="215"/>
    </row>
    <row r="5" spans="1:4" x14ac:dyDescent="0.5">
      <c r="A5" s="156"/>
      <c r="B5" s="215"/>
      <c r="C5" s="215"/>
      <c r="D5" s="215"/>
    </row>
    <row r="6" spans="1:4" x14ac:dyDescent="0.5">
      <c r="A6" s="154" t="s">
        <v>253</v>
      </c>
      <c r="B6" s="215" t="s">
        <v>254</v>
      </c>
      <c r="C6" s="215" t="s">
        <v>255</v>
      </c>
      <c r="D6" s="215" t="s">
        <v>256</v>
      </c>
    </row>
    <row r="7" spans="1:4" x14ac:dyDescent="0.5">
      <c r="A7" s="155" t="s">
        <v>257</v>
      </c>
      <c r="B7" s="215"/>
      <c r="C7" s="215"/>
      <c r="D7" s="215"/>
    </row>
    <row r="8" spans="1:4" x14ac:dyDescent="0.5">
      <c r="A8" s="156"/>
      <c r="B8" s="215"/>
      <c r="C8" s="215"/>
      <c r="D8" s="215"/>
    </row>
    <row r="9" spans="1:4" x14ac:dyDescent="0.5">
      <c r="A9" s="154" t="s">
        <v>258</v>
      </c>
      <c r="B9" s="215" t="s">
        <v>259</v>
      </c>
      <c r="C9" s="215" t="s">
        <v>260</v>
      </c>
      <c r="D9" s="215" t="s">
        <v>261</v>
      </c>
    </row>
    <row r="10" spans="1:4" x14ac:dyDescent="0.5">
      <c r="A10" s="155" t="s">
        <v>262</v>
      </c>
      <c r="B10" s="215"/>
      <c r="C10" s="215"/>
      <c r="D10" s="215"/>
    </row>
    <row r="11" spans="1:4" x14ac:dyDescent="0.5">
      <c r="A11" s="157"/>
      <c r="B11" s="215"/>
      <c r="C11" s="215"/>
      <c r="D11" s="215"/>
    </row>
    <row r="12" spans="1:4" x14ac:dyDescent="0.5">
      <c r="A12" s="154" t="s">
        <v>263</v>
      </c>
      <c r="B12" s="215" t="s">
        <v>264</v>
      </c>
      <c r="C12" s="215" t="s">
        <v>265</v>
      </c>
      <c r="D12" s="215" t="s">
        <v>266</v>
      </c>
    </row>
    <row r="13" spans="1:4" x14ac:dyDescent="0.5">
      <c r="A13" s="155" t="s">
        <v>267</v>
      </c>
      <c r="B13" s="215"/>
      <c r="C13" s="215"/>
      <c r="D13" s="215"/>
    </row>
    <row r="14" spans="1:4" x14ac:dyDescent="0.5">
      <c r="A14" s="157"/>
      <c r="B14" s="215"/>
      <c r="C14" s="215"/>
      <c r="D14" s="215"/>
    </row>
    <row r="15" spans="1:4" x14ac:dyDescent="0.5">
      <c r="A15" s="154" t="s">
        <v>268</v>
      </c>
      <c r="B15" s="215" t="s">
        <v>269</v>
      </c>
      <c r="C15" s="215" t="s">
        <v>270</v>
      </c>
      <c r="D15" s="215" t="s">
        <v>271</v>
      </c>
    </row>
    <row r="16" spans="1:4" x14ac:dyDescent="0.5">
      <c r="A16" s="155" t="s">
        <v>272</v>
      </c>
      <c r="B16" s="215"/>
      <c r="C16" s="215"/>
      <c r="D16" s="215"/>
    </row>
    <row r="17" spans="1:4" x14ac:dyDescent="0.5">
      <c r="A17" s="157"/>
      <c r="B17" s="215"/>
      <c r="C17" s="215"/>
      <c r="D17" s="215"/>
    </row>
    <row r="18" spans="1:4" x14ac:dyDescent="0.5">
      <c r="A18" s="154" t="s">
        <v>273</v>
      </c>
      <c r="B18" s="215" t="s">
        <v>269</v>
      </c>
      <c r="C18" s="215" t="s">
        <v>274</v>
      </c>
      <c r="D18" s="215" t="s">
        <v>275</v>
      </c>
    </row>
    <row r="19" spans="1:4" x14ac:dyDescent="0.5">
      <c r="A19" s="155" t="s">
        <v>276</v>
      </c>
      <c r="B19" s="215"/>
      <c r="C19" s="215"/>
      <c r="D19" s="215"/>
    </row>
    <row r="20" spans="1:4" x14ac:dyDescent="0.5">
      <c r="A20" s="157"/>
      <c r="B20" s="215"/>
      <c r="C20" s="215"/>
      <c r="D20" s="215"/>
    </row>
    <row r="21" spans="1:4" x14ac:dyDescent="0.5">
      <c r="A21" s="154" t="s">
        <v>277</v>
      </c>
      <c r="B21" s="215" t="s">
        <v>278</v>
      </c>
      <c r="C21" s="215" t="s">
        <v>274</v>
      </c>
      <c r="D21" s="215" t="s">
        <v>279</v>
      </c>
    </row>
    <row r="22" spans="1:4" x14ac:dyDescent="0.5">
      <c r="A22" s="155" t="s">
        <v>280</v>
      </c>
      <c r="B22" s="215"/>
      <c r="C22" s="215"/>
      <c r="D22" s="215"/>
    </row>
    <row r="23" spans="1:4" x14ac:dyDescent="0.5">
      <c r="A23" s="157"/>
      <c r="B23" s="215"/>
      <c r="C23" s="215"/>
      <c r="D23" s="215"/>
    </row>
  </sheetData>
  <mergeCells count="22">
    <mergeCell ref="A1:D1"/>
    <mergeCell ref="B3:B5"/>
    <mergeCell ref="C3:C5"/>
    <mergeCell ref="D3:D5"/>
    <mergeCell ref="B6:B8"/>
    <mergeCell ref="C6:C8"/>
    <mergeCell ref="D6:D8"/>
    <mergeCell ref="B9:B11"/>
    <mergeCell ref="C9:C11"/>
    <mergeCell ref="D9:D11"/>
    <mergeCell ref="B12:B14"/>
    <mergeCell ref="C12:C14"/>
    <mergeCell ref="D12:D14"/>
    <mergeCell ref="B21:B23"/>
    <mergeCell ref="C21:C23"/>
    <mergeCell ref="D21:D23"/>
    <mergeCell ref="B15:B17"/>
    <mergeCell ref="C15:C17"/>
    <mergeCell ref="D15:D17"/>
    <mergeCell ref="B18:B20"/>
    <mergeCell ref="C18:C20"/>
    <mergeCell ref="D18:D20"/>
  </mergeCells>
  <pageMargins left="0.39370078740157483" right="0.17" top="0.74803149606299213" bottom="0.74803149606299213" header="0.31496062992125984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5"/>
  <sheetViews>
    <sheetView topLeftCell="A7" zoomScale="85" zoomScaleNormal="85" workbookViewId="0">
      <selection activeCell="E5" sqref="E5"/>
    </sheetView>
  </sheetViews>
  <sheetFormatPr defaultColWidth="9" defaultRowHeight="21" x14ac:dyDescent="0.5"/>
  <cols>
    <col min="1" max="1" width="30.85546875" style="161" customWidth="1"/>
    <col min="2" max="2" width="72.28515625" style="161" customWidth="1"/>
    <col min="3" max="16384" width="9" style="159"/>
  </cols>
  <sheetData>
    <row r="1" spans="1:2" x14ac:dyDescent="0.5">
      <c r="A1" s="76" t="s">
        <v>281</v>
      </c>
      <c r="B1" s="76" t="s">
        <v>282</v>
      </c>
    </row>
    <row r="2" spans="1:2" ht="84" x14ac:dyDescent="0.5">
      <c r="A2" s="160" t="s">
        <v>283</v>
      </c>
      <c r="B2" s="160" t="s">
        <v>284</v>
      </c>
    </row>
    <row r="3" spans="1:2" ht="84" x14ac:dyDescent="0.5">
      <c r="A3" s="160" t="s">
        <v>285</v>
      </c>
      <c r="B3" s="160" t="s">
        <v>286</v>
      </c>
    </row>
    <row r="4" spans="1:2" ht="84" x14ac:dyDescent="0.5">
      <c r="A4" s="160" t="s">
        <v>287</v>
      </c>
      <c r="B4" s="160" t="s">
        <v>288</v>
      </c>
    </row>
    <row r="5" spans="1:2" ht="84" x14ac:dyDescent="0.5">
      <c r="A5" s="160" t="s">
        <v>289</v>
      </c>
      <c r="B5" s="160" t="s">
        <v>290</v>
      </c>
    </row>
  </sheetData>
  <pageMargins left="0.51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topLeftCell="A7" workbookViewId="0">
      <selection activeCell="A4" sqref="A4"/>
    </sheetView>
  </sheetViews>
  <sheetFormatPr defaultRowHeight="21.75" x14ac:dyDescent="0.5"/>
  <cols>
    <col min="1" max="1" width="9" style="78"/>
  </cols>
  <sheetData>
    <row r="1" spans="1:1" x14ac:dyDescent="0.5">
      <c r="A1" s="78">
        <v>4</v>
      </c>
    </row>
    <row r="2" spans="1:1" x14ac:dyDescent="0.5">
      <c r="A2" s="78">
        <v>3.9</v>
      </c>
    </row>
    <row r="3" spans="1:1" x14ac:dyDescent="0.5">
      <c r="A3" s="78">
        <v>3.8</v>
      </c>
    </row>
    <row r="4" spans="1:1" x14ac:dyDescent="0.5">
      <c r="A4" s="78">
        <v>3.7</v>
      </c>
    </row>
    <row r="5" spans="1:1" x14ac:dyDescent="0.5">
      <c r="A5" s="78">
        <v>3.6</v>
      </c>
    </row>
    <row r="6" spans="1:1" x14ac:dyDescent="0.5">
      <c r="A6" s="78">
        <v>3.5</v>
      </c>
    </row>
    <row r="7" spans="1:1" x14ac:dyDescent="0.5">
      <c r="A7" s="78">
        <v>3.4</v>
      </c>
    </row>
    <row r="8" spans="1:1" x14ac:dyDescent="0.5">
      <c r="A8" s="78">
        <v>3.3</v>
      </c>
    </row>
    <row r="9" spans="1:1" x14ac:dyDescent="0.5">
      <c r="A9" s="78">
        <v>3.2</v>
      </c>
    </row>
    <row r="10" spans="1:1" x14ac:dyDescent="0.5">
      <c r="A10" s="78">
        <v>3.1</v>
      </c>
    </row>
    <row r="11" spans="1:1" x14ac:dyDescent="0.5">
      <c r="A11" s="78">
        <v>3</v>
      </c>
    </row>
    <row r="12" spans="1:1" x14ac:dyDescent="0.5">
      <c r="A12" s="78">
        <v>2.9</v>
      </c>
    </row>
    <row r="13" spans="1:1" x14ac:dyDescent="0.5">
      <c r="A13" s="78">
        <v>2.8</v>
      </c>
    </row>
    <row r="14" spans="1:1" x14ac:dyDescent="0.5">
      <c r="A14" s="78">
        <v>2.7</v>
      </c>
    </row>
    <row r="15" spans="1:1" x14ac:dyDescent="0.5">
      <c r="A15" s="78">
        <v>2.6</v>
      </c>
    </row>
    <row r="16" spans="1:1" x14ac:dyDescent="0.5">
      <c r="A16" s="78">
        <v>2.5</v>
      </c>
    </row>
    <row r="17" spans="1:1" x14ac:dyDescent="0.5">
      <c r="A17" s="78">
        <v>2.4</v>
      </c>
    </row>
    <row r="18" spans="1:1" x14ac:dyDescent="0.5">
      <c r="A18" s="78">
        <v>2.2999999999999998</v>
      </c>
    </row>
    <row r="19" spans="1:1" x14ac:dyDescent="0.5">
      <c r="A19" s="78">
        <v>2.2000000000000002</v>
      </c>
    </row>
    <row r="20" spans="1:1" x14ac:dyDescent="0.5">
      <c r="A20" s="78">
        <v>2.1</v>
      </c>
    </row>
    <row r="21" spans="1:1" x14ac:dyDescent="0.5">
      <c r="A21" s="78">
        <v>2</v>
      </c>
    </row>
    <row r="22" spans="1:1" x14ac:dyDescent="0.5">
      <c r="A22" s="78">
        <v>1.9</v>
      </c>
    </row>
    <row r="23" spans="1:1" x14ac:dyDescent="0.5">
      <c r="A23" s="78">
        <v>1.8</v>
      </c>
    </row>
    <row r="24" spans="1:1" x14ac:dyDescent="0.5">
      <c r="A24" s="78">
        <v>1.7</v>
      </c>
    </row>
    <row r="25" spans="1:1" x14ac:dyDescent="0.5">
      <c r="A25" s="78">
        <v>1.6</v>
      </c>
    </row>
    <row r="26" spans="1:1" x14ac:dyDescent="0.5">
      <c r="A26" s="78">
        <v>1.5</v>
      </c>
    </row>
    <row r="27" spans="1:1" x14ac:dyDescent="0.5">
      <c r="A27" s="78">
        <v>1.4</v>
      </c>
    </row>
    <row r="28" spans="1:1" x14ac:dyDescent="0.5">
      <c r="A28" s="78">
        <v>1.3</v>
      </c>
    </row>
    <row r="29" spans="1:1" x14ac:dyDescent="0.5">
      <c r="A29" s="78">
        <v>1.2</v>
      </c>
    </row>
    <row r="30" spans="1:1" x14ac:dyDescent="0.5">
      <c r="A30" s="78">
        <v>1.1000000000000001</v>
      </c>
    </row>
    <row r="31" spans="1:1" x14ac:dyDescent="0.5">
      <c r="A31" s="78">
        <v>1</v>
      </c>
    </row>
    <row r="32" spans="1:1" x14ac:dyDescent="0.5">
      <c r="A32" s="78">
        <v>0.9</v>
      </c>
    </row>
    <row r="33" spans="1:1" x14ac:dyDescent="0.5">
      <c r="A33" s="78">
        <v>0.8</v>
      </c>
    </row>
    <row r="34" spans="1:1" x14ac:dyDescent="0.5">
      <c r="A34" s="78">
        <v>0.7</v>
      </c>
    </row>
    <row r="35" spans="1:1" x14ac:dyDescent="0.5">
      <c r="A35" s="78">
        <v>0.6</v>
      </c>
    </row>
    <row r="36" spans="1:1" x14ac:dyDescent="0.5">
      <c r="A36" s="78">
        <v>0.5</v>
      </c>
    </row>
    <row r="37" spans="1:1" x14ac:dyDescent="0.5">
      <c r="A37" s="78">
        <v>0.4</v>
      </c>
    </row>
    <row r="38" spans="1:1" x14ac:dyDescent="0.5">
      <c r="A38" s="78">
        <v>0.3</v>
      </c>
    </row>
    <row r="39" spans="1:1" x14ac:dyDescent="0.5">
      <c r="A39" s="78">
        <v>0.2</v>
      </c>
    </row>
    <row r="40" spans="1:1" x14ac:dyDescent="0.5">
      <c r="A40" s="78">
        <v>0.1</v>
      </c>
    </row>
    <row r="41" spans="1:1" x14ac:dyDescent="0.5">
      <c r="A41" s="7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6C04133FBAD419C252449F3DFD591" ma:contentTypeVersion="15" ma:contentTypeDescription="Create a new document." ma:contentTypeScope="" ma:versionID="dad1fdefb30e8a3e57a2cfeced3447ad">
  <xsd:schema xmlns:xsd="http://www.w3.org/2001/XMLSchema" xmlns:xs="http://www.w3.org/2001/XMLSchema" xmlns:p="http://schemas.microsoft.com/office/2006/metadata/properties" xmlns:ns2="209203a8-fcc2-40db-90bf-2bda60af3d0b" xmlns:ns3="b08c164a-d794-43cb-a712-fde13a3fd93d" targetNamespace="http://schemas.microsoft.com/office/2006/metadata/properties" ma:root="true" ma:fieldsID="aef4144933cc691abbab961d2c768a6c" ns2:_="" ns3:_="">
    <xsd:import namespace="209203a8-fcc2-40db-90bf-2bda60af3d0b"/>
    <xsd:import namespace="b08c164a-d794-43cb-a712-fde13a3fd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203a8-fcc2-40db-90bf-2bda60af3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5a6edc0-792c-424b-9cdf-c7b9dae50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c164a-d794-43cb-a712-fde13a3fd93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02a2ce4-211e-486c-a708-e64f4f9a5f7e}" ma:internalName="TaxCatchAll" ma:showField="CatchAllData" ma:web="b08c164a-d794-43cb-a712-fde13a3fd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209203a8-fcc2-40db-90bf-2bda60af3d0b" xsi:nil="true"/>
    <lcf76f155ced4ddcb4097134ff3c332f xmlns="209203a8-fcc2-40db-90bf-2bda60af3d0b">
      <Terms xmlns="http://schemas.microsoft.com/office/infopath/2007/PartnerControls"/>
    </lcf76f155ced4ddcb4097134ff3c332f>
    <TaxCatchAll xmlns="b08c164a-d794-43cb-a712-fde13a3fd93d" xsi:nil="true"/>
  </documentManagement>
</p:properties>
</file>

<file path=customXml/itemProps1.xml><?xml version="1.0" encoding="utf-8"?>
<ds:datastoreItem xmlns:ds="http://schemas.openxmlformats.org/officeDocument/2006/customXml" ds:itemID="{5AC129CA-FB8D-4197-BF6D-4A5027878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9203a8-fcc2-40db-90bf-2bda60af3d0b"/>
    <ds:schemaRef ds:uri="b08c164a-d794-43cb-a712-fde13a3fd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26F231-6399-4C55-B0D4-FBC577DB26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C3522B-B79A-4BA3-840E-9D3F697A06CC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b08c164a-d794-43cb-a712-fde13a3fd93d"/>
    <ds:schemaRef ds:uri="209203a8-fcc2-40db-90bf-2bda60af3d0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ตัวอย่างการกรอก</vt:lpstr>
      <vt:lpstr>1</vt:lpstr>
      <vt:lpstr>2.1</vt:lpstr>
      <vt:lpstr>2.2 (ปฏิบัติการ)</vt:lpstr>
      <vt:lpstr>3</vt:lpstr>
      <vt:lpstr>4</vt:lpstr>
      <vt:lpstr>ระดับความสำเร็จ</vt:lpstr>
      <vt:lpstr>คำนิยามกลุ่มงาน4กลุ่ม</vt:lpstr>
      <vt:lpstr>ตัวคูณระดับความสำเร็จ</vt:lpstr>
      <vt:lpstr>'2.1'!Print_Area</vt:lpstr>
      <vt:lpstr>'2.2 (ปฏิบัติการ)'!Print_Area</vt:lpstr>
      <vt:lpstr>ตัวอย่างการกรอก!Print_Area</vt:lpstr>
      <vt:lpstr>'2.2 (ปฏิบัติการ)'!Print_Titles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ekkachai.wiw</cp:lastModifiedBy>
  <cp:revision/>
  <cp:lastPrinted>2025-07-23T04:35:41Z</cp:lastPrinted>
  <dcterms:created xsi:type="dcterms:W3CDTF">2020-06-16T06:08:33Z</dcterms:created>
  <dcterms:modified xsi:type="dcterms:W3CDTF">2025-08-30T13:57:42Z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0x0101000116C04133FBAD419C252449F3DFD591</vt:lpwstr>
  </property>
  <property fmtid="{D5CDD505-2E9C-101B-9397-08002B2CF9AE}" pid="3" name="MediaServiceImageTags">
    <vt:lpwstr/>
  </property>
  <property fmtid="{D5CDD505-2E9C-101B-9397-08002B2CF9AE}" pid="4" name="Order">
    <vt:r8>3651700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